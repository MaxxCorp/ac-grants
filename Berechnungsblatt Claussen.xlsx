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E:\ball_gf\Antragstellungen Projekte\Antragstellungen 2026\§ 16i SGB II\"/>
    </mc:Choice>
  </mc:AlternateContent>
  <xr:revisionPtr revIDLastSave="765" documentId="13_ncr:1_{60664DD5-9CB6-4C91-8425-1473E27C4C03}" xr6:coauthVersionLast="47" xr6:coauthVersionMax="47" xr10:uidLastSave="{5DD8C416-A044-426B-A948-082A6F907975}"/>
  <bookViews>
    <workbookView xWindow="750" yWindow="1650" windowWidth="23520" windowHeight="13185" xr2:uid="{00000000-000D-0000-FFFF-FFFF00000000}"/>
  </bookViews>
  <sheets>
    <sheet name="MA1" sheetId="1" r:id="rId1"/>
    <sheet name="AG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F52" i="1"/>
  <c r="G52" i="1"/>
  <c r="H52" i="1"/>
  <c r="I52" i="1"/>
  <c r="K52" i="1"/>
  <c r="O52" i="1"/>
  <c r="U52" i="1"/>
  <c r="V52" i="1"/>
  <c r="W52" i="1"/>
  <c r="X52" i="1"/>
  <c r="Y52" i="1"/>
  <c r="Z52" i="1"/>
  <c r="F53" i="1"/>
  <c r="G53" i="1"/>
  <c r="H53" i="1"/>
  <c r="I53" i="1"/>
  <c r="K53" i="1"/>
  <c r="O53" i="1"/>
  <c r="U53" i="1"/>
  <c r="V53" i="1"/>
  <c r="W53" i="1"/>
  <c r="X53" i="1"/>
  <c r="Y53" i="1"/>
  <c r="Z53" i="1"/>
  <c r="G37" i="1"/>
  <c r="H37" i="1"/>
  <c r="I37" i="1"/>
  <c r="K37" i="1"/>
  <c r="O37" i="1"/>
  <c r="U37" i="1"/>
  <c r="V37" i="1"/>
  <c r="W37" i="1"/>
  <c r="X37" i="1"/>
  <c r="Y37" i="1"/>
  <c r="Z37" i="1"/>
  <c r="G21" i="1"/>
  <c r="H21" i="1"/>
  <c r="I21" i="1"/>
  <c r="K21" i="1"/>
  <c r="O21" i="1"/>
  <c r="U21" i="1"/>
  <c r="V21" i="1"/>
  <c r="W21" i="1"/>
  <c r="X21" i="1"/>
  <c r="Y21" i="1"/>
  <c r="Z21" i="1"/>
  <c r="F43" i="1"/>
  <c r="F44" i="1"/>
  <c r="F45" i="1"/>
  <c r="F46" i="1"/>
  <c r="F47" i="1"/>
  <c r="F51" i="1"/>
  <c r="F54" i="1"/>
  <c r="F55" i="1"/>
  <c r="F56" i="1"/>
  <c r="F57" i="1"/>
  <c r="F58" i="1"/>
  <c r="F42" i="1"/>
  <c r="M42" i="1" s="1"/>
  <c r="M12" i="1"/>
  <c r="F26" i="1"/>
  <c r="M26" i="1" s="1"/>
  <c r="F27" i="1"/>
  <c r="L32" i="1"/>
  <c r="T96" i="1"/>
  <c r="S96" i="1"/>
  <c r="R96" i="1"/>
  <c r="Q96" i="1"/>
  <c r="P96" i="1"/>
  <c r="L94" i="1"/>
  <c r="Z93" i="1"/>
  <c r="G93" i="1"/>
  <c r="Z92" i="1"/>
  <c r="G92" i="1"/>
  <c r="Z91" i="1"/>
  <c r="G91" i="1"/>
  <c r="Z90" i="1"/>
  <c r="G90" i="1"/>
  <c r="Z89" i="1"/>
  <c r="G89" i="1"/>
  <c r="Z88" i="1"/>
  <c r="G88" i="1"/>
  <c r="Z87" i="1"/>
  <c r="G87" i="1"/>
  <c r="Z86" i="1"/>
  <c r="G86" i="1"/>
  <c r="Z85" i="1"/>
  <c r="G85" i="1"/>
  <c r="Z84" i="1"/>
  <c r="G84" i="1"/>
  <c r="Z83" i="1"/>
  <c r="G83" i="1"/>
  <c r="Z82" i="1"/>
  <c r="Z96" i="1" s="1"/>
  <c r="Z103" i="1" s="1"/>
  <c r="G82" i="1"/>
  <c r="T81" i="1"/>
  <c r="S81" i="1"/>
  <c r="R81" i="1"/>
  <c r="Q81" i="1"/>
  <c r="P81" i="1"/>
  <c r="L79" i="1"/>
  <c r="Z78" i="1"/>
  <c r="G78" i="1"/>
  <c r="Z77" i="1"/>
  <c r="G77" i="1"/>
  <c r="Z76" i="1"/>
  <c r="G76" i="1"/>
  <c r="Z75" i="1"/>
  <c r="G75" i="1"/>
  <c r="Z74" i="1"/>
  <c r="G74" i="1"/>
  <c r="Z73" i="1"/>
  <c r="G73" i="1"/>
  <c r="Z72" i="1"/>
  <c r="G72" i="1"/>
  <c r="Z71" i="1"/>
  <c r="G71" i="1"/>
  <c r="Z70" i="1"/>
  <c r="G70" i="1"/>
  <c r="Z69" i="1"/>
  <c r="G69" i="1"/>
  <c r="Z68" i="1"/>
  <c r="G68" i="1"/>
  <c r="Z67" i="1"/>
  <c r="Z81" i="1" s="1"/>
  <c r="Z102" i="1" s="1"/>
  <c r="G67" i="1"/>
  <c r="T66" i="1"/>
  <c r="S66" i="1"/>
  <c r="R66" i="1"/>
  <c r="Q66" i="1"/>
  <c r="P66" i="1"/>
  <c r="L64" i="1"/>
  <c r="Z63" i="1"/>
  <c r="G63" i="1"/>
  <c r="Z62" i="1"/>
  <c r="G62" i="1"/>
  <c r="Z61" i="1"/>
  <c r="G61" i="1"/>
  <c r="Z60" i="1"/>
  <c r="G60" i="1"/>
  <c r="Z59" i="1"/>
  <c r="G59" i="1"/>
  <c r="Z58" i="1"/>
  <c r="G58" i="1"/>
  <c r="Z57" i="1"/>
  <c r="G57" i="1"/>
  <c r="Z56" i="1"/>
  <c r="G56" i="1"/>
  <c r="Z55" i="1"/>
  <c r="G55" i="1"/>
  <c r="Z54" i="1"/>
  <c r="G54" i="1"/>
  <c r="Z51" i="1"/>
  <c r="Z66" i="1" s="1"/>
  <c r="Z101" i="1" s="1"/>
  <c r="G51" i="1"/>
  <c r="T50" i="1"/>
  <c r="S50" i="1"/>
  <c r="R50" i="1"/>
  <c r="Q50" i="1"/>
  <c r="P50" i="1"/>
  <c r="L48" i="1"/>
  <c r="Z47" i="1"/>
  <c r="G47" i="1"/>
  <c r="Z46" i="1"/>
  <c r="G46" i="1"/>
  <c r="Z45" i="1"/>
  <c r="G45" i="1"/>
  <c r="Z44" i="1"/>
  <c r="G44" i="1"/>
  <c r="Z43" i="1"/>
  <c r="G43" i="1"/>
  <c r="Z42" i="1"/>
  <c r="G42" i="1"/>
  <c r="Z41" i="1"/>
  <c r="G41" i="1"/>
  <c r="Z40" i="1"/>
  <c r="G40" i="1"/>
  <c r="Z39" i="1"/>
  <c r="G39" i="1"/>
  <c r="Z38" i="1"/>
  <c r="G38" i="1"/>
  <c r="Z36" i="1"/>
  <c r="G36" i="1"/>
  <c r="Z35" i="1"/>
  <c r="Z50" i="1" s="1"/>
  <c r="Z100" i="1" s="1"/>
  <c r="G35" i="1"/>
  <c r="T34" i="1"/>
  <c r="S34" i="1"/>
  <c r="R34" i="1"/>
  <c r="Q34" i="1"/>
  <c r="P34" i="1"/>
  <c r="Z31" i="1"/>
  <c r="G31" i="1"/>
  <c r="Z30" i="1"/>
  <c r="G30" i="1"/>
  <c r="Z29" i="1"/>
  <c r="G29" i="1"/>
  <c r="Z28" i="1"/>
  <c r="G28" i="1"/>
  <c r="Z27" i="1"/>
  <c r="G27" i="1"/>
  <c r="Z26" i="1"/>
  <c r="G26" i="1"/>
  <c r="Z25" i="1"/>
  <c r="G25" i="1"/>
  <c r="Z24" i="1"/>
  <c r="G24" i="1"/>
  <c r="Z23" i="1"/>
  <c r="G23" i="1"/>
  <c r="Z22" i="1"/>
  <c r="G22" i="1"/>
  <c r="Z20" i="1"/>
  <c r="G20" i="1"/>
  <c r="Z19" i="1"/>
  <c r="Z34" i="1" s="1"/>
  <c r="Z99" i="1" s="1"/>
  <c r="G19" i="1"/>
  <c r="T18" i="1"/>
  <c r="S18" i="1"/>
  <c r="R18" i="1"/>
  <c r="Q18" i="1"/>
  <c r="P18" i="1"/>
  <c r="L16" i="1"/>
  <c r="Z15" i="1"/>
  <c r="G15" i="1"/>
  <c r="Z14" i="1"/>
  <c r="G14" i="1"/>
  <c r="Z13" i="1"/>
  <c r="G13" i="1"/>
  <c r="Z12" i="1"/>
  <c r="Z18" i="1" s="1"/>
  <c r="Z98" i="1" s="1"/>
  <c r="Z104" i="1" s="1"/>
  <c r="G12" i="1"/>
  <c r="G11" i="1"/>
  <c r="K10" i="1"/>
  <c r="G10" i="1"/>
  <c r="O10" i="1" s="1"/>
  <c r="K9" i="1"/>
  <c r="G9" i="1"/>
  <c r="O9" i="1" s="1"/>
  <c r="K8" i="1"/>
  <c r="G8" i="1"/>
  <c r="O8" i="1" s="1"/>
  <c r="K7" i="1"/>
  <c r="G7" i="1"/>
  <c r="O7" i="1" s="1"/>
  <c r="K6" i="1"/>
  <c r="G6" i="1"/>
  <c r="O6" i="1" s="1"/>
  <c r="K5" i="1"/>
  <c r="G5" i="1"/>
  <c r="O5" i="1" s="1"/>
  <c r="K4" i="1"/>
  <c r="G4" i="1"/>
  <c r="O4" i="1" s="1"/>
  <c r="O11" i="1" l="1"/>
  <c r="H11" i="1"/>
  <c r="I11" i="1" s="1"/>
  <c r="K11" i="1" s="1"/>
  <c r="W11" i="1" s="1"/>
  <c r="O12" i="1"/>
  <c r="U12" i="1" s="1"/>
  <c r="V12" i="1" s="1"/>
  <c r="H12" i="1"/>
  <c r="I12" i="1" s="1"/>
  <c r="K12" i="1" s="1"/>
  <c r="W12" i="1" s="1"/>
  <c r="O13" i="1"/>
  <c r="U13" i="1" s="1"/>
  <c r="V13" i="1" s="1"/>
  <c r="H13" i="1"/>
  <c r="I13" i="1" s="1"/>
  <c r="K13" i="1" s="1"/>
  <c r="W13" i="1" s="1"/>
  <c r="O14" i="1"/>
  <c r="U14" i="1" s="1"/>
  <c r="V14" i="1" s="1"/>
  <c r="H14" i="1"/>
  <c r="I14" i="1" s="1"/>
  <c r="K14" i="1" s="1"/>
  <c r="W14" i="1" s="1"/>
  <c r="O15" i="1"/>
  <c r="U15" i="1" s="1"/>
  <c r="V15" i="1" s="1"/>
  <c r="H15" i="1"/>
  <c r="I15" i="1" s="1"/>
  <c r="K15" i="1" s="1"/>
  <c r="W15" i="1" s="1"/>
  <c r="O19" i="1"/>
  <c r="H19" i="1"/>
  <c r="I19" i="1" s="1"/>
  <c r="K19" i="1" s="1"/>
  <c r="W19" i="1" s="1"/>
  <c r="O20" i="1"/>
  <c r="H20" i="1"/>
  <c r="I20" i="1" s="1"/>
  <c r="K20" i="1" s="1"/>
  <c r="W20" i="1" s="1"/>
  <c r="O22" i="1"/>
  <c r="H22" i="1"/>
  <c r="I22" i="1" s="1"/>
  <c r="K22" i="1" s="1"/>
  <c r="W22" i="1" s="1"/>
  <c r="O23" i="1"/>
  <c r="H23" i="1"/>
  <c r="I23" i="1" s="1"/>
  <c r="K23" i="1" s="1"/>
  <c r="W23" i="1" s="1"/>
  <c r="O24" i="1"/>
  <c r="H24" i="1"/>
  <c r="I24" i="1" s="1"/>
  <c r="K24" i="1" s="1"/>
  <c r="W24" i="1" s="1"/>
  <c r="O25" i="1"/>
  <c r="H25" i="1"/>
  <c r="I25" i="1" s="1"/>
  <c r="K25" i="1" s="1"/>
  <c r="W25" i="1" s="1"/>
  <c r="O26" i="1"/>
  <c r="H26" i="1"/>
  <c r="I26" i="1" s="1"/>
  <c r="K26" i="1" s="1"/>
  <c r="W26" i="1" s="1"/>
  <c r="O27" i="1"/>
  <c r="H27" i="1"/>
  <c r="I27" i="1" s="1"/>
  <c r="K27" i="1" s="1"/>
  <c r="W27" i="1" s="1"/>
  <c r="O28" i="1"/>
  <c r="H28" i="1"/>
  <c r="I28" i="1" s="1"/>
  <c r="K28" i="1" s="1"/>
  <c r="W28" i="1" s="1"/>
  <c r="O29" i="1"/>
  <c r="H29" i="1"/>
  <c r="I29" i="1" s="1"/>
  <c r="K29" i="1" s="1"/>
  <c r="W29" i="1" s="1"/>
  <c r="O30" i="1"/>
  <c r="H30" i="1"/>
  <c r="I30" i="1" s="1"/>
  <c r="K30" i="1" s="1"/>
  <c r="W30" i="1" s="1"/>
  <c r="O31" i="1"/>
  <c r="H31" i="1"/>
  <c r="I31" i="1" s="1"/>
  <c r="K31" i="1" s="1"/>
  <c r="W31" i="1" s="1"/>
  <c r="O35" i="1"/>
  <c r="H35" i="1"/>
  <c r="I35" i="1" s="1"/>
  <c r="K35" i="1" s="1"/>
  <c r="W35" i="1" s="1"/>
  <c r="O36" i="1"/>
  <c r="H36" i="1"/>
  <c r="I36" i="1" s="1"/>
  <c r="K36" i="1" s="1"/>
  <c r="W36" i="1" s="1"/>
  <c r="O38" i="1"/>
  <c r="H38" i="1"/>
  <c r="I38" i="1" s="1"/>
  <c r="K38" i="1" s="1"/>
  <c r="W38" i="1" s="1"/>
  <c r="O39" i="1"/>
  <c r="H39" i="1"/>
  <c r="I39" i="1" s="1"/>
  <c r="K39" i="1" s="1"/>
  <c r="W39" i="1" s="1"/>
  <c r="O40" i="1"/>
  <c r="H40" i="1"/>
  <c r="I40" i="1" s="1"/>
  <c r="K40" i="1" s="1"/>
  <c r="W40" i="1" s="1"/>
  <c r="O41" i="1"/>
  <c r="H41" i="1"/>
  <c r="I41" i="1" s="1"/>
  <c r="K41" i="1" s="1"/>
  <c r="W41" i="1" s="1"/>
  <c r="O42" i="1"/>
  <c r="H42" i="1"/>
  <c r="I42" i="1" s="1"/>
  <c r="K42" i="1" s="1"/>
  <c r="W42" i="1" s="1"/>
  <c r="O43" i="1"/>
  <c r="H43" i="1"/>
  <c r="I43" i="1" s="1"/>
  <c r="K43" i="1" s="1"/>
  <c r="W43" i="1" s="1"/>
  <c r="O44" i="1"/>
  <c r="H44" i="1"/>
  <c r="I44" i="1" s="1"/>
  <c r="K44" i="1" s="1"/>
  <c r="W44" i="1" s="1"/>
  <c r="O45" i="1"/>
  <c r="H45" i="1"/>
  <c r="I45" i="1" s="1"/>
  <c r="K45" i="1" s="1"/>
  <c r="W45" i="1" s="1"/>
  <c r="O46" i="1"/>
  <c r="H46" i="1"/>
  <c r="I46" i="1" s="1"/>
  <c r="K46" i="1" s="1"/>
  <c r="W46" i="1" s="1"/>
  <c r="O47" i="1"/>
  <c r="H47" i="1"/>
  <c r="I47" i="1" s="1"/>
  <c r="K47" i="1" s="1"/>
  <c r="W47" i="1" s="1"/>
  <c r="O51" i="1"/>
  <c r="H51" i="1"/>
  <c r="I51" i="1" s="1"/>
  <c r="K51" i="1" s="1"/>
  <c r="W51" i="1" s="1"/>
  <c r="O54" i="1"/>
  <c r="H54" i="1"/>
  <c r="I54" i="1" s="1"/>
  <c r="K54" i="1" s="1"/>
  <c r="W54" i="1" s="1"/>
  <c r="O55" i="1"/>
  <c r="H55" i="1"/>
  <c r="I55" i="1" s="1"/>
  <c r="K55" i="1" s="1"/>
  <c r="W55" i="1" s="1"/>
  <c r="O56" i="1"/>
  <c r="H56" i="1"/>
  <c r="I56" i="1" s="1"/>
  <c r="K56" i="1" s="1"/>
  <c r="W56" i="1" s="1"/>
  <c r="O57" i="1"/>
  <c r="H57" i="1"/>
  <c r="I57" i="1" s="1"/>
  <c r="K57" i="1" s="1"/>
  <c r="W57" i="1" s="1"/>
  <c r="O58" i="1"/>
  <c r="H58" i="1"/>
  <c r="I58" i="1" s="1"/>
  <c r="K58" i="1" s="1"/>
  <c r="W58" i="1" s="1"/>
  <c r="O59" i="1"/>
  <c r="H59" i="1"/>
  <c r="I59" i="1" s="1"/>
  <c r="K59" i="1" s="1"/>
  <c r="W59" i="1" s="1"/>
  <c r="O60" i="1"/>
  <c r="H60" i="1"/>
  <c r="I60" i="1" s="1"/>
  <c r="K60" i="1" s="1"/>
  <c r="W60" i="1" s="1"/>
  <c r="O61" i="1"/>
  <c r="H61" i="1"/>
  <c r="I61" i="1" s="1"/>
  <c r="K61" i="1" s="1"/>
  <c r="W61" i="1" s="1"/>
  <c r="O62" i="1"/>
  <c r="H62" i="1"/>
  <c r="I62" i="1" s="1"/>
  <c r="K62" i="1" s="1"/>
  <c r="W62" i="1" s="1"/>
  <c r="O63" i="1"/>
  <c r="H63" i="1"/>
  <c r="I63" i="1" s="1"/>
  <c r="K63" i="1" s="1"/>
  <c r="W63" i="1" s="1"/>
  <c r="O67" i="1"/>
  <c r="H67" i="1"/>
  <c r="I67" i="1" s="1"/>
  <c r="K67" i="1" s="1"/>
  <c r="W67" i="1" s="1"/>
  <c r="O68" i="1"/>
  <c r="H68" i="1"/>
  <c r="I68" i="1" s="1"/>
  <c r="K68" i="1" s="1"/>
  <c r="W68" i="1" s="1"/>
  <c r="O69" i="1"/>
  <c r="H69" i="1"/>
  <c r="I69" i="1" s="1"/>
  <c r="K69" i="1" s="1"/>
  <c r="W69" i="1" s="1"/>
  <c r="O70" i="1"/>
  <c r="H70" i="1"/>
  <c r="I70" i="1" s="1"/>
  <c r="K70" i="1" s="1"/>
  <c r="W70" i="1" s="1"/>
  <c r="O71" i="1"/>
  <c r="H71" i="1"/>
  <c r="I71" i="1" s="1"/>
  <c r="K71" i="1" s="1"/>
  <c r="W71" i="1" s="1"/>
  <c r="O72" i="1"/>
  <c r="H72" i="1"/>
  <c r="I72" i="1" s="1"/>
  <c r="K72" i="1" s="1"/>
  <c r="W72" i="1" s="1"/>
  <c r="O73" i="1"/>
  <c r="H73" i="1"/>
  <c r="I73" i="1" s="1"/>
  <c r="K73" i="1" s="1"/>
  <c r="W73" i="1" s="1"/>
  <c r="O74" i="1"/>
  <c r="H74" i="1"/>
  <c r="I74" i="1" s="1"/>
  <c r="K74" i="1" s="1"/>
  <c r="W74" i="1" s="1"/>
  <c r="O75" i="1"/>
  <c r="H75" i="1"/>
  <c r="I75" i="1" s="1"/>
  <c r="K75" i="1" s="1"/>
  <c r="W75" i="1" s="1"/>
  <c r="O76" i="1"/>
  <c r="H76" i="1"/>
  <c r="I76" i="1" s="1"/>
  <c r="K76" i="1" s="1"/>
  <c r="W76" i="1" s="1"/>
  <c r="O77" i="1"/>
  <c r="H77" i="1"/>
  <c r="I77" i="1" s="1"/>
  <c r="K77" i="1" s="1"/>
  <c r="W77" i="1" s="1"/>
  <c r="O78" i="1"/>
  <c r="H78" i="1"/>
  <c r="I78" i="1" s="1"/>
  <c r="K78" i="1" s="1"/>
  <c r="W78" i="1" s="1"/>
  <c r="O82" i="1"/>
  <c r="H82" i="1"/>
  <c r="I82" i="1" s="1"/>
  <c r="K82" i="1" s="1"/>
  <c r="W82" i="1" s="1"/>
  <c r="O83" i="1"/>
  <c r="H83" i="1"/>
  <c r="I83" i="1" s="1"/>
  <c r="K83" i="1" s="1"/>
  <c r="W83" i="1" s="1"/>
  <c r="O84" i="1"/>
  <c r="H84" i="1"/>
  <c r="I84" i="1" s="1"/>
  <c r="K84" i="1" s="1"/>
  <c r="W84" i="1" s="1"/>
  <c r="O85" i="1"/>
  <c r="H85" i="1"/>
  <c r="I85" i="1" s="1"/>
  <c r="K85" i="1" s="1"/>
  <c r="W85" i="1" s="1"/>
  <c r="O86" i="1"/>
  <c r="H86" i="1"/>
  <c r="I86" i="1" s="1"/>
  <c r="K86" i="1" s="1"/>
  <c r="W86" i="1" s="1"/>
  <c r="O87" i="1"/>
  <c r="H87" i="1"/>
  <c r="I87" i="1" s="1"/>
  <c r="K87" i="1" s="1"/>
  <c r="W87" i="1" s="1"/>
  <c r="O88" i="1"/>
  <c r="H88" i="1"/>
  <c r="I88" i="1" s="1"/>
  <c r="K88" i="1" s="1"/>
  <c r="W88" i="1" s="1"/>
  <c r="O89" i="1"/>
  <c r="H89" i="1"/>
  <c r="I89" i="1" s="1"/>
  <c r="K89" i="1" s="1"/>
  <c r="W89" i="1" s="1"/>
  <c r="O90" i="1"/>
  <c r="H90" i="1"/>
  <c r="I90" i="1" s="1"/>
  <c r="K90" i="1" s="1"/>
  <c r="W90" i="1" s="1"/>
  <c r="O91" i="1"/>
  <c r="H91" i="1"/>
  <c r="I91" i="1" s="1"/>
  <c r="K91" i="1" s="1"/>
  <c r="W91" i="1" s="1"/>
  <c r="O92" i="1"/>
  <c r="H92" i="1"/>
  <c r="I92" i="1" s="1"/>
  <c r="K92" i="1" s="1"/>
  <c r="W92" i="1" s="1"/>
  <c r="O93" i="1"/>
  <c r="H93" i="1"/>
  <c r="I93" i="1" s="1"/>
  <c r="K93" i="1" s="1"/>
  <c r="W93" i="1" s="1"/>
  <c r="U93" i="1" l="1"/>
  <c r="V93" i="1" s="1"/>
  <c r="U92" i="1"/>
  <c r="V92" i="1" s="1"/>
  <c r="U91" i="1"/>
  <c r="V91" i="1" s="1"/>
  <c r="U90" i="1"/>
  <c r="V90" i="1" s="1"/>
  <c r="U89" i="1"/>
  <c r="V89" i="1" s="1"/>
  <c r="U88" i="1"/>
  <c r="V88" i="1" s="1"/>
  <c r="U87" i="1"/>
  <c r="V87" i="1" s="1"/>
  <c r="U86" i="1"/>
  <c r="V86" i="1" s="1"/>
  <c r="U85" i="1"/>
  <c r="V85" i="1" s="1"/>
  <c r="U84" i="1"/>
  <c r="V84" i="1" s="1"/>
  <c r="U83" i="1"/>
  <c r="V83" i="1" s="1"/>
  <c r="W96" i="1"/>
  <c r="W103" i="1" s="1"/>
  <c r="O96" i="1"/>
  <c r="U82" i="1"/>
  <c r="U78" i="1"/>
  <c r="V78" i="1" s="1"/>
  <c r="U77" i="1"/>
  <c r="V77" i="1" s="1"/>
  <c r="U76" i="1"/>
  <c r="V76" i="1" s="1"/>
  <c r="U75" i="1"/>
  <c r="V75" i="1" s="1"/>
  <c r="U74" i="1"/>
  <c r="V74" i="1" s="1"/>
  <c r="U73" i="1"/>
  <c r="V73" i="1" s="1"/>
  <c r="U72" i="1"/>
  <c r="V72" i="1" s="1"/>
  <c r="U71" i="1"/>
  <c r="V71" i="1" s="1"/>
  <c r="U70" i="1"/>
  <c r="V70" i="1" s="1"/>
  <c r="U69" i="1"/>
  <c r="V69" i="1" s="1"/>
  <c r="U68" i="1"/>
  <c r="V68" i="1" s="1"/>
  <c r="W81" i="1"/>
  <c r="W102" i="1" s="1"/>
  <c r="O81" i="1"/>
  <c r="U67" i="1"/>
  <c r="U63" i="1"/>
  <c r="V63" i="1" s="1"/>
  <c r="U62" i="1"/>
  <c r="V62" i="1" s="1"/>
  <c r="U61" i="1"/>
  <c r="V61" i="1" s="1"/>
  <c r="U60" i="1"/>
  <c r="V60" i="1" s="1"/>
  <c r="U59" i="1"/>
  <c r="V59" i="1" s="1"/>
  <c r="U58" i="1"/>
  <c r="V58" i="1" s="1"/>
  <c r="U57" i="1"/>
  <c r="V57" i="1" s="1"/>
  <c r="U56" i="1"/>
  <c r="V56" i="1" s="1"/>
  <c r="U55" i="1"/>
  <c r="V55" i="1" s="1"/>
  <c r="U54" i="1"/>
  <c r="V54" i="1" s="1"/>
  <c r="W66" i="1"/>
  <c r="W101" i="1" s="1"/>
  <c r="O66" i="1"/>
  <c r="U51" i="1"/>
  <c r="U47" i="1"/>
  <c r="V47" i="1" s="1"/>
  <c r="U46" i="1"/>
  <c r="V46" i="1" s="1"/>
  <c r="U45" i="1"/>
  <c r="V45" i="1" s="1"/>
  <c r="U44" i="1"/>
  <c r="V44" i="1" s="1"/>
  <c r="U43" i="1"/>
  <c r="V43" i="1" s="1"/>
  <c r="U42" i="1"/>
  <c r="V42" i="1" s="1"/>
  <c r="U41" i="1"/>
  <c r="V41" i="1" s="1"/>
  <c r="U40" i="1"/>
  <c r="V40" i="1" s="1"/>
  <c r="U39" i="1"/>
  <c r="V39" i="1" s="1"/>
  <c r="U38" i="1"/>
  <c r="V38" i="1" s="1"/>
  <c r="U36" i="1"/>
  <c r="V36" i="1" s="1"/>
  <c r="W50" i="1"/>
  <c r="W100" i="1" s="1"/>
  <c r="O50" i="1"/>
  <c r="U35" i="1"/>
  <c r="U31" i="1"/>
  <c r="V31" i="1" s="1"/>
  <c r="U30" i="1"/>
  <c r="V30" i="1" s="1"/>
  <c r="U29" i="1"/>
  <c r="V29" i="1" s="1"/>
  <c r="U28" i="1"/>
  <c r="V28" i="1" s="1"/>
  <c r="U27" i="1"/>
  <c r="V27" i="1" s="1"/>
  <c r="U26" i="1"/>
  <c r="V26" i="1" s="1"/>
  <c r="U25" i="1"/>
  <c r="V25" i="1" s="1"/>
  <c r="U24" i="1"/>
  <c r="V24" i="1" s="1"/>
  <c r="U23" i="1"/>
  <c r="V23" i="1" s="1"/>
  <c r="U22" i="1"/>
  <c r="V22" i="1" s="1"/>
  <c r="U20" i="1"/>
  <c r="V20" i="1" s="1"/>
  <c r="W34" i="1"/>
  <c r="W99" i="1" s="1"/>
  <c r="O34" i="1"/>
  <c r="U19" i="1"/>
  <c r="X17" i="1"/>
  <c r="X16" i="1"/>
  <c r="X15" i="1"/>
  <c r="Y15" i="1" s="1"/>
  <c r="X14" i="1"/>
  <c r="Y14" i="1" s="1"/>
  <c r="X13" i="1"/>
  <c r="Y13" i="1" s="1"/>
  <c r="X12" i="1"/>
  <c r="Y12" i="1" s="1"/>
  <c r="W18" i="1"/>
  <c r="W98" i="1" s="1"/>
  <c r="W104" i="1" s="1"/>
  <c r="U11" i="1"/>
  <c r="O18" i="1"/>
  <c r="U18" i="1" l="1"/>
  <c r="V11" i="1"/>
  <c r="U34" i="1"/>
  <c r="V19" i="1"/>
  <c r="X20" i="1"/>
  <c r="Y20" i="1" s="1"/>
  <c r="X22" i="1"/>
  <c r="Y22" i="1" s="1"/>
  <c r="X23" i="1"/>
  <c r="Y23" i="1" s="1"/>
  <c r="X24" i="1"/>
  <c r="Y24" i="1" s="1"/>
  <c r="X25" i="1"/>
  <c r="Y25" i="1" s="1"/>
  <c r="X26" i="1"/>
  <c r="Y26" i="1" s="1"/>
  <c r="X27" i="1"/>
  <c r="Y27" i="1" s="1"/>
  <c r="X28" i="1"/>
  <c r="Y28" i="1" s="1"/>
  <c r="X29" i="1"/>
  <c r="Y29" i="1" s="1"/>
  <c r="X30" i="1"/>
  <c r="Y30" i="1" s="1"/>
  <c r="X33" i="1"/>
  <c r="X32" i="1"/>
  <c r="X31" i="1"/>
  <c r="Y31" i="1" s="1"/>
  <c r="U50" i="1"/>
  <c r="V35" i="1"/>
  <c r="X36" i="1"/>
  <c r="Y36" i="1" s="1"/>
  <c r="X38" i="1"/>
  <c r="Y38" i="1" s="1"/>
  <c r="X39" i="1"/>
  <c r="Y39" i="1" s="1"/>
  <c r="X40" i="1"/>
  <c r="Y40" i="1" s="1"/>
  <c r="X41" i="1"/>
  <c r="Y41" i="1" s="1"/>
  <c r="X42" i="1"/>
  <c r="Y42" i="1" s="1"/>
  <c r="X43" i="1"/>
  <c r="Y43" i="1" s="1"/>
  <c r="X44" i="1"/>
  <c r="Y44" i="1" s="1"/>
  <c r="X45" i="1"/>
  <c r="Y45" i="1" s="1"/>
  <c r="X46" i="1"/>
  <c r="Y46" i="1" s="1"/>
  <c r="X49" i="1"/>
  <c r="X48" i="1"/>
  <c r="X47" i="1"/>
  <c r="Y47" i="1" s="1"/>
  <c r="U66" i="1"/>
  <c r="V51" i="1"/>
  <c r="X54" i="1"/>
  <c r="Y54" i="1" s="1"/>
  <c r="X55" i="1"/>
  <c r="Y55" i="1" s="1"/>
  <c r="X56" i="1"/>
  <c r="Y56" i="1" s="1"/>
  <c r="X57" i="1"/>
  <c r="Y57" i="1" s="1"/>
  <c r="X58" i="1"/>
  <c r="Y58" i="1" s="1"/>
  <c r="X59" i="1"/>
  <c r="Y59" i="1" s="1"/>
  <c r="X60" i="1"/>
  <c r="Y60" i="1" s="1"/>
  <c r="X61" i="1"/>
  <c r="Y61" i="1" s="1"/>
  <c r="X62" i="1"/>
  <c r="Y62" i="1" s="1"/>
  <c r="X65" i="1"/>
  <c r="X64" i="1"/>
  <c r="X63" i="1"/>
  <c r="Y63" i="1" s="1"/>
  <c r="U81" i="1"/>
  <c r="V67" i="1"/>
  <c r="X68" i="1"/>
  <c r="Y68" i="1" s="1"/>
  <c r="X69" i="1"/>
  <c r="Y69" i="1" s="1"/>
  <c r="X70" i="1"/>
  <c r="Y70" i="1" s="1"/>
  <c r="X71" i="1"/>
  <c r="Y71" i="1" s="1"/>
  <c r="X72" i="1"/>
  <c r="Y72" i="1" s="1"/>
  <c r="X73" i="1"/>
  <c r="Y73" i="1" s="1"/>
  <c r="X74" i="1"/>
  <c r="Y74" i="1" s="1"/>
  <c r="X75" i="1"/>
  <c r="Y75" i="1" s="1"/>
  <c r="X76" i="1"/>
  <c r="Y76" i="1" s="1"/>
  <c r="X77" i="1"/>
  <c r="Y77" i="1" s="1"/>
  <c r="X80" i="1"/>
  <c r="X79" i="1"/>
  <c r="X78" i="1"/>
  <c r="Y78" i="1" s="1"/>
  <c r="U96" i="1"/>
  <c r="V82" i="1"/>
  <c r="X83" i="1"/>
  <c r="Y83" i="1" s="1"/>
  <c r="X84" i="1"/>
  <c r="Y84" i="1" s="1"/>
  <c r="X85" i="1"/>
  <c r="Y85" i="1" s="1"/>
  <c r="X86" i="1"/>
  <c r="Y86" i="1" s="1"/>
  <c r="X87" i="1"/>
  <c r="Y87" i="1" s="1"/>
  <c r="X88" i="1"/>
  <c r="Y88" i="1" s="1"/>
  <c r="X89" i="1"/>
  <c r="Y89" i="1" s="1"/>
  <c r="X90" i="1"/>
  <c r="Y90" i="1" s="1"/>
  <c r="X91" i="1"/>
  <c r="Y91" i="1" s="1"/>
  <c r="X92" i="1"/>
  <c r="Y92" i="1" s="1"/>
  <c r="X95" i="1"/>
  <c r="X94" i="1"/>
  <c r="X93" i="1"/>
  <c r="Y93" i="1" s="1"/>
  <c r="V96" i="1" l="1"/>
  <c r="V103" i="1" s="1"/>
  <c r="X82" i="1"/>
  <c r="V81" i="1"/>
  <c r="V102" i="1" s="1"/>
  <c r="X67" i="1"/>
  <c r="V66" i="1"/>
  <c r="V101" i="1" s="1"/>
  <c r="X51" i="1"/>
  <c r="V50" i="1"/>
  <c r="V100" i="1" s="1"/>
  <c r="X35" i="1"/>
  <c r="V34" i="1"/>
  <c r="V99" i="1" s="1"/>
  <c r="X19" i="1"/>
  <c r="V18" i="1"/>
  <c r="V98" i="1" s="1"/>
  <c r="V104" i="1" s="1"/>
  <c r="X11" i="1"/>
  <c r="X18" i="1" l="1"/>
  <c r="X98" i="1" s="1"/>
  <c r="Y11" i="1"/>
  <c r="Y18" i="1" s="1"/>
  <c r="Y98" i="1" s="1"/>
  <c r="X34" i="1"/>
  <c r="X99" i="1" s="1"/>
  <c r="Y19" i="1"/>
  <c r="Y34" i="1" s="1"/>
  <c r="Y99" i="1" s="1"/>
  <c r="X50" i="1"/>
  <c r="X100" i="1" s="1"/>
  <c r="Y35" i="1"/>
  <c r="Y50" i="1" s="1"/>
  <c r="Y100" i="1" s="1"/>
  <c r="X66" i="1"/>
  <c r="X101" i="1" s="1"/>
  <c r="Y51" i="1"/>
  <c r="Y66" i="1" s="1"/>
  <c r="Y101" i="1" s="1"/>
  <c r="X81" i="1"/>
  <c r="X102" i="1" s="1"/>
  <c r="Y67" i="1"/>
  <c r="Y81" i="1" s="1"/>
  <c r="Y102" i="1" s="1"/>
  <c r="X96" i="1"/>
  <c r="X103" i="1" s="1"/>
  <c r="Y82" i="1"/>
  <c r="Y96" i="1" s="1"/>
  <c r="Y103" i="1" s="1"/>
  <c r="Y104" i="1" l="1"/>
  <c r="X104" i="1"/>
</calcChain>
</file>

<file path=xl/sharedStrings.xml><?xml version="1.0" encoding="utf-8"?>
<sst xmlns="http://schemas.openxmlformats.org/spreadsheetml/2006/main" count="243" uniqueCount="69">
  <si>
    <t>Herr André Claussen</t>
  </si>
  <si>
    <t>EG2</t>
  </si>
  <si>
    <t>ES1</t>
  </si>
  <si>
    <t>Laufzeit:</t>
  </si>
  <si>
    <t>01.09.2026-15.02.2030</t>
  </si>
  <si>
    <t>Wochenstunden:</t>
  </si>
  <si>
    <t>Sachkostenpauschale:</t>
  </si>
  <si>
    <t>Kinder:</t>
  </si>
  <si>
    <t>Krankenkasse:</t>
  </si>
  <si>
    <t>DAK</t>
  </si>
  <si>
    <t>AGA</t>
  </si>
  <si>
    <t>Anteil Monat</t>
  </si>
  <si>
    <t>Bundes-ML</t>
  </si>
  <si>
    <t>Land-ML</t>
  </si>
  <si>
    <t>FTE AN-Brutto</t>
  </si>
  <si>
    <t>AN-Brutto</t>
  </si>
  <si>
    <t>Gesamt AG-Brutto JC</t>
  </si>
  <si>
    <t>Degression</t>
  </si>
  <si>
    <t>EGZ JC</t>
  </si>
  <si>
    <t>Monate im Jahr</t>
  </si>
  <si>
    <t>Tarifeinigung 5.5.2026</t>
  </si>
  <si>
    <t>KV</t>
  </si>
  <si>
    <t>RV</t>
  </si>
  <si>
    <t>PV</t>
  </si>
  <si>
    <t>U2</t>
  </si>
  <si>
    <t>IGU</t>
  </si>
  <si>
    <r>
      <t>AGA</t>
    </r>
    <r>
      <rPr>
        <vertAlign val="subscript"/>
        <sz val="11"/>
        <color theme="1"/>
        <rFont val="Calibri"/>
        <family val="2"/>
        <scheme val="minor"/>
      </rPr>
      <t>real</t>
    </r>
  </si>
  <si>
    <r>
      <t>Gehalt AN + AGA</t>
    </r>
    <r>
      <rPr>
        <vertAlign val="subscript"/>
        <sz val="11"/>
        <color theme="1"/>
        <rFont val="Calibri"/>
        <family val="2"/>
        <scheme val="minor"/>
      </rPr>
      <t>real</t>
    </r>
  </si>
  <si>
    <t>Anteil JC</t>
  </si>
  <si>
    <t>Anteil AGA</t>
  </si>
  <si>
    <t>Anteil Degression</t>
  </si>
  <si>
    <t>SK-Land</t>
  </si>
  <si>
    <t>13,90</t>
  </si>
  <si>
    <t>14,84</t>
  </si>
  <si>
    <t xml:space="preserve">Jahressonderzahlung (85%) </t>
  </si>
  <si>
    <t>AGA auf JSZ</t>
  </si>
  <si>
    <t>14,85</t>
  </si>
  <si>
    <t>23,14%</t>
  </si>
  <si>
    <t xml:space="preserve"> sind die kalkulierten AGA Kosten </t>
  </si>
  <si>
    <t>Die Jahressonderzahlung beträgt 85% des Septembergehalts (gemäß Arbeitsmonaten), mit Anspruch  falls eine Beschäftigung zum 1.12. besteht</t>
  </si>
  <si>
    <t>ES Wechsel am 1.9.2027</t>
  </si>
  <si>
    <t>ES Wechsel am 1.9.2029</t>
  </si>
  <si>
    <t>Austritt nach den verbleibendend 41,5 Monaten an Restförderung durch JobCenter</t>
  </si>
  <si>
    <t>Beitragssätze Krankenkassen</t>
  </si>
  <si>
    <t>Stand 01.06.2026</t>
  </si>
  <si>
    <t>Mit Kind</t>
  </si>
  <si>
    <t>Ohne Kind</t>
  </si>
  <si>
    <t> </t>
  </si>
  <si>
    <t>Zusatzbeitrag</t>
  </si>
  <si>
    <t>AV</t>
  </si>
  <si>
    <t>PV (1 Kind)*</t>
  </si>
  <si>
    <t>PV kinderlos**</t>
  </si>
  <si>
    <t>U1 bei …</t>
  </si>
  <si>
    <t>U1 Erstattungssatz</t>
  </si>
  <si>
    <t>U2 Umlage</t>
  </si>
  <si>
    <t>IGU (U3)</t>
  </si>
  <si>
    <t>AN-Anteil</t>
  </si>
  <si>
    <t>AG-Anteil</t>
  </si>
  <si>
    <t>AOK BLN-BRB</t>
  </si>
  <si>
    <t>Barmer</t>
  </si>
  <si>
    <t>BIG direkt</t>
  </si>
  <si>
    <t>Techniker</t>
  </si>
  <si>
    <t>BKK VBU</t>
  </si>
  <si>
    <t>IKK BLN-BRB</t>
  </si>
  <si>
    <t>KKH</t>
  </si>
  <si>
    <t>Bahn-BKK</t>
  </si>
  <si>
    <t>Novitas BKK</t>
  </si>
  <si>
    <t>*für jedes weitere Kind sinkt der AN-Beitrag um 0,25%</t>
  </si>
  <si>
    <t>**AG-Anteil 1,8%, Kinderlose AN-Anteil 2,4%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</si>
</sst>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/>
    <xf numFmtId="49" fontId="0" fillId="0" borderId="0" xfId="0" applyNumberFormat="1" applyAlignment="1">
      <alignment horizontal="center" vertical="center"/>
    </xf>
    <xf numFmtId="44" fontId="0" fillId="0" borderId="0" xfId="1" applyFont="1"/>
    <xf numFmtId="44" fontId="0" fillId="0" borderId="0" xfId="1" applyFont="1" applyAlignment="1">
      <alignment horizontal="center"/>
    </xf>
    <xf numFmtId="44" fontId="0" fillId="0" borderId="0" xfId="0" applyNumberFormat="1"/>
    <xf numFmtId="44" fontId="2" fillId="2" borderId="0" xfId="0" applyNumberFormat="1" applyFont="1" applyFill="1"/>
    <xf numFmtId="0" fontId="0" fillId="0" borderId="0" xfId="0" applyAlignment="1">
      <alignment horizontal="center" vertical="center"/>
    </xf>
    <xf numFmtId="44" fontId="0" fillId="0" borderId="0" xfId="1" applyFont="1" applyFill="1"/>
    <xf numFmtId="44" fontId="0" fillId="0" borderId="0" xfId="1" applyFont="1" applyFill="1" applyAlignment="1">
      <alignment horizontal="center"/>
    </xf>
    <xf numFmtId="44" fontId="0" fillId="0" borderId="2" xfId="0" applyNumberFormat="1" applyBorder="1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0" xfId="0" applyNumberFormat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vertical="top"/>
    </xf>
    <xf numFmtId="44" fontId="0" fillId="0" borderId="0" xfId="1" applyFont="1" applyAlignment="1">
      <alignment vertical="top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6" fillId="0" borderId="3" xfId="0" applyFont="1" applyBorder="1"/>
    <xf numFmtId="0" fontId="6" fillId="0" borderId="4" xfId="0" applyFont="1" applyBorder="1"/>
    <xf numFmtId="0" fontId="7" fillId="0" borderId="4" xfId="0" applyFont="1" applyBorder="1"/>
    <xf numFmtId="0" fontId="7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7" fillId="3" borderId="6" xfId="0" applyFont="1" applyFill="1" applyBorder="1"/>
    <xf numFmtId="10" fontId="6" fillId="0" borderId="7" xfId="0" applyNumberFormat="1" applyFont="1" applyBorder="1"/>
    <xf numFmtId="0" fontId="7" fillId="3" borderId="9" xfId="0" applyFont="1" applyFill="1" applyBorder="1"/>
    <xf numFmtId="0" fontId="6" fillId="0" borderId="10" xfId="0" applyFont="1" applyBorder="1"/>
    <xf numFmtId="10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44" fontId="0" fillId="4" borderId="0" xfId="0" applyNumberFormat="1" applyFill="1"/>
    <xf numFmtId="0" fontId="0" fillId="4" borderId="0" xfId="0" applyFill="1"/>
    <xf numFmtId="10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vertical="top"/>
    </xf>
    <xf numFmtId="14" fontId="0" fillId="5" borderId="0" xfId="0" applyNumberFormat="1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5" borderId="1" xfId="0" applyFill="1" applyBorder="1" applyAlignment="1">
      <alignment horizontal="center"/>
    </xf>
    <xf numFmtId="44" fontId="0" fillId="5" borderId="0" xfId="0" applyNumberFormat="1" applyFill="1"/>
    <xf numFmtId="0" fontId="8" fillId="0" borderId="0" xfId="0" applyFont="1" applyAlignment="1">
      <alignment horizontal="center"/>
    </xf>
    <xf numFmtId="0" fontId="0" fillId="7" borderId="0" xfId="0" applyFill="1" applyAlignment="1">
      <alignment horizontal="left" vertical="top"/>
    </xf>
    <xf numFmtId="14" fontId="0" fillId="0" borderId="0" xfId="0" applyNumberForma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  <pageSetUpPr fitToPage="1"/>
  </sheetPr>
  <dimension ref="A2:Z111"/>
  <sheetViews>
    <sheetView tabSelected="1" workbookViewId="0">
      <pane xSplit="1" ySplit="3" topLeftCell="B4" activePane="bottomRight" state="frozen"/>
      <selection pane="bottomRight" activeCell="A2" sqref="A2"/>
      <selection pane="bottomLeft"/>
      <selection pane="topRight"/>
    </sheetView>
  </sheetViews>
  <sheetFormatPr defaultColWidth="11.42578125" defaultRowHeight="15"/>
  <cols>
    <col min="1" max="1" width="14.85546875" style="12" customWidth="1"/>
    <col min="2" max="4" width="11.42578125" style="12"/>
    <col min="5" max="5" width="2" style="12" customWidth="1"/>
    <col min="8" max="8" width="10.28515625" style="2" customWidth="1"/>
    <col min="9" max="9" width="12" bestFit="1" customWidth="1"/>
    <col min="10" max="10" width="11.42578125" customWidth="1"/>
    <col min="11" max="11" width="12" customWidth="1"/>
    <col min="12" max="12" width="15" bestFit="1" customWidth="1"/>
    <col min="13" max="13" width="12" bestFit="1" customWidth="1"/>
    <col min="14" max="14" width="3" customWidth="1"/>
    <col min="15" max="15" width="14.28515625" customWidth="1"/>
    <col min="16" max="19" width="12" hidden="1" customWidth="1"/>
    <col min="20" max="20" width="18" hidden="1" customWidth="1"/>
    <col min="21" max="21" width="13" bestFit="1" customWidth="1"/>
    <col min="22" max="22" width="14.5703125" bestFit="1" customWidth="1"/>
    <col min="23" max="23" width="19.140625" customWidth="1"/>
    <col min="24" max="24" width="12" bestFit="1" customWidth="1"/>
    <col min="25" max="25" width="13.28515625" customWidth="1"/>
    <col min="26" max="26" width="12" bestFit="1" customWidth="1"/>
  </cols>
  <sheetData>
    <row r="2" spans="1:26" ht="30.75">
      <c r="A2" s="25" t="s">
        <v>0</v>
      </c>
      <c r="B2" t="s">
        <v>1</v>
      </c>
      <c r="C2" t="s">
        <v>2</v>
      </c>
      <c r="D2" t="s">
        <v>3</v>
      </c>
      <c r="E2"/>
      <c r="F2" s="1" t="s">
        <v>4</v>
      </c>
      <c r="H2" s="19" t="s">
        <v>5</v>
      </c>
      <c r="J2" s="22">
        <v>30</v>
      </c>
      <c r="K2" t="s">
        <v>6</v>
      </c>
      <c r="M2">
        <v>155</v>
      </c>
      <c r="O2" t="s">
        <v>7</v>
      </c>
      <c r="U2">
        <v>0</v>
      </c>
      <c r="V2" t="s">
        <v>8</v>
      </c>
      <c r="W2" t="s">
        <v>9</v>
      </c>
      <c r="X2" t="s">
        <v>10</v>
      </c>
      <c r="Y2" s="44">
        <v>0.23139999999999999</v>
      </c>
    </row>
    <row r="3" spans="1:26">
      <c r="A3" s="3"/>
      <c r="B3" s="3" t="s">
        <v>11</v>
      </c>
      <c r="C3" s="3" t="s">
        <v>12</v>
      </c>
      <c r="D3" s="3" t="s">
        <v>13</v>
      </c>
      <c r="E3" s="3"/>
      <c r="F3" s="21" t="s">
        <v>14</v>
      </c>
      <c r="G3" s="4" t="s">
        <v>15</v>
      </c>
      <c r="H3" s="5">
        <v>0.19</v>
      </c>
      <c r="I3" s="5" t="s">
        <v>16</v>
      </c>
      <c r="J3" s="4" t="s">
        <v>17</v>
      </c>
      <c r="K3" s="4" t="s">
        <v>18</v>
      </c>
      <c r="L3" s="4" t="s">
        <v>19</v>
      </c>
      <c r="M3" s="51" t="s">
        <v>20</v>
      </c>
      <c r="N3" s="6"/>
      <c r="O3" s="6" t="s">
        <v>15</v>
      </c>
      <c r="P3" s="6" t="s">
        <v>21</v>
      </c>
      <c r="Q3" s="6" t="s">
        <v>22</v>
      </c>
      <c r="R3" s="6" t="s">
        <v>23</v>
      </c>
      <c r="S3" s="6" t="s">
        <v>24</v>
      </c>
      <c r="T3" s="6" t="s">
        <v>25</v>
      </c>
      <c r="U3" s="6" t="s">
        <v>26</v>
      </c>
      <c r="V3" s="6" t="s">
        <v>27</v>
      </c>
      <c r="W3" s="6" t="s">
        <v>28</v>
      </c>
      <c r="X3" s="6" t="s">
        <v>29</v>
      </c>
      <c r="Y3" s="6" t="s">
        <v>30</v>
      </c>
      <c r="Z3" s="6" t="s">
        <v>31</v>
      </c>
    </row>
    <row r="4" spans="1:26">
      <c r="A4" s="18"/>
      <c r="B4" s="16"/>
      <c r="C4" s="7"/>
      <c r="D4" s="7"/>
      <c r="E4" s="7"/>
      <c r="F4" s="20"/>
      <c r="G4" s="8">
        <f t="shared" ref="G4:G43" si="0">F4*($J$2/39)*B4</f>
        <v>0</v>
      </c>
      <c r="H4" s="8"/>
      <c r="I4" s="9"/>
      <c r="J4" s="2"/>
      <c r="K4" s="10">
        <f>I4*J4%</f>
        <v>0</v>
      </c>
      <c r="L4" s="17"/>
      <c r="M4" s="10"/>
      <c r="N4" s="10"/>
      <c r="O4" s="10">
        <f>SUM(G4:G4)</f>
        <v>0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8"/>
    </row>
    <row r="5" spans="1:26">
      <c r="A5" s="18"/>
      <c r="B5" s="16"/>
      <c r="C5" s="7"/>
      <c r="D5" s="7"/>
      <c r="E5" s="7"/>
      <c r="F5" s="20"/>
      <c r="G5" s="8">
        <f t="shared" si="0"/>
        <v>0</v>
      </c>
      <c r="H5" s="8"/>
      <c r="I5" s="9"/>
      <c r="J5" s="2"/>
      <c r="K5" s="10">
        <f t="shared" ref="K5:K47" si="1">I5*J5%</f>
        <v>0</v>
      </c>
      <c r="L5" s="17"/>
      <c r="M5" s="10"/>
      <c r="N5" s="10"/>
      <c r="O5" s="10">
        <f>SUM(G5:G5)</f>
        <v>0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8"/>
    </row>
    <row r="6" spans="1:26">
      <c r="A6" s="18"/>
      <c r="B6" s="16"/>
      <c r="C6" s="7"/>
      <c r="D6" s="7"/>
      <c r="E6" s="7"/>
      <c r="F6" s="20"/>
      <c r="G6" s="8">
        <f t="shared" si="0"/>
        <v>0</v>
      </c>
      <c r="H6" s="8"/>
      <c r="I6" s="9"/>
      <c r="J6" s="2"/>
      <c r="K6" s="10">
        <f t="shared" si="1"/>
        <v>0</v>
      </c>
      <c r="L6" s="17"/>
      <c r="M6" s="10"/>
      <c r="N6" s="10"/>
      <c r="O6" s="10">
        <f>SUM(G6:G6)</f>
        <v>0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8"/>
    </row>
    <row r="7" spans="1:26">
      <c r="A7" s="18"/>
      <c r="B7" s="16"/>
      <c r="C7" s="7"/>
      <c r="D7" s="7"/>
      <c r="E7" s="7"/>
      <c r="F7" s="20"/>
      <c r="G7" s="8">
        <f t="shared" si="0"/>
        <v>0</v>
      </c>
      <c r="H7" s="8"/>
      <c r="I7" s="9"/>
      <c r="J7" s="2"/>
      <c r="K7" s="10">
        <f t="shared" si="1"/>
        <v>0</v>
      </c>
      <c r="L7" s="17"/>
      <c r="M7" s="10"/>
      <c r="N7" s="10"/>
      <c r="O7" s="10">
        <f>SUM(G7:G7)</f>
        <v>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8"/>
    </row>
    <row r="8" spans="1:26">
      <c r="A8" s="18"/>
      <c r="B8" s="16"/>
      <c r="C8" s="7"/>
      <c r="D8" s="7"/>
      <c r="E8" s="7"/>
      <c r="F8" s="20"/>
      <c r="G8" s="8">
        <f t="shared" si="0"/>
        <v>0</v>
      </c>
      <c r="H8" s="8"/>
      <c r="I8" s="9"/>
      <c r="J8" s="2"/>
      <c r="K8" s="10">
        <f t="shared" si="1"/>
        <v>0</v>
      </c>
      <c r="L8" s="17"/>
      <c r="M8" s="10"/>
      <c r="N8" s="10"/>
      <c r="O8" s="10">
        <f>SUM(G8:G8)</f>
        <v>0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8"/>
    </row>
    <row r="9" spans="1:26">
      <c r="A9" s="18"/>
      <c r="B9" s="16"/>
      <c r="C9" s="7"/>
      <c r="D9" s="7"/>
      <c r="F9" s="20"/>
      <c r="G9" s="24">
        <f>F9*($J$2/39)*B9</f>
        <v>0</v>
      </c>
      <c r="H9" s="8"/>
      <c r="I9" s="9"/>
      <c r="J9" s="2"/>
      <c r="K9" s="23">
        <f t="shared" si="1"/>
        <v>0</v>
      </c>
      <c r="L9" s="17"/>
      <c r="O9" s="10">
        <f>SUM(G9:G9)</f>
        <v>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8"/>
    </row>
    <row r="10" spans="1:26">
      <c r="A10" s="18"/>
      <c r="B10" s="16"/>
      <c r="C10" s="7"/>
      <c r="D10" s="7"/>
      <c r="F10" s="20"/>
      <c r="G10" s="24">
        <f>F10*($J$2/39)*B10</f>
        <v>0</v>
      </c>
      <c r="H10" s="8"/>
      <c r="I10" s="9"/>
      <c r="J10" s="2"/>
      <c r="K10" s="23">
        <f t="shared" si="1"/>
        <v>0</v>
      </c>
      <c r="L10" s="17"/>
      <c r="O10" s="10">
        <f>SUM(G10:G10)</f>
        <v>0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8"/>
    </row>
    <row r="11" spans="1:26">
      <c r="A11" s="18"/>
      <c r="B11" s="16"/>
      <c r="C11" s="7"/>
      <c r="D11" s="7"/>
      <c r="E11" s="7"/>
      <c r="F11" s="20"/>
      <c r="G11" s="8">
        <f t="shared" si="0"/>
        <v>0</v>
      </c>
      <c r="H11" s="8">
        <f>SUM(G11:G11)*19%</f>
        <v>0</v>
      </c>
      <c r="I11" s="9">
        <f>SUM(G11:H11)</f>
        <v>0</v>
      </c>
      <c r="J11" s="2"/>
      <c r="K11" s="10">
        <f t="shared" si="1"/>
        <v>0</v>
      </c>
      <c r="L11" s="17"/>
      <c r="M11" s="10"/>
      <c r="N11" s="10"/>
      <c r="O11" s="10">
        <f>SUM(G11:G11)</f>
        <v>0</v>
      </c>
      <c r="P11" s="10"/>
      <c r="Q11" s="10"/>
      <c r="R11" s="10"/>
      <c r="S11" s="10"/>
      <c r="T11" s="10"/>
      <c r="U11" s="10">
        <f>O11*$Y$2</f>
        <v>0</v>
      </c>
      <c r="V11" s="10">
        <f>U11+O11</f>
        <v>0</v>
      </c>
      <c r="W11" s="10">
        <f t="shared" ref="W11:W20" si="2">K11</f>
        <v>0</v>
      </c>
      <c r="X11" s="10">
        <f>V11-I11</f>
        <v>0</v>
      </c>
      <c r="Y11" s="10">
        <f>V11-W11-X11</f>
        <v>0</v>
      </c>
      <c r="Z11" s="8"/>
    </row>
    <row r="12" spans="1:26">
      <c r="A12" s="47">
        <v>46266</v>
      </c>
      <c r="B12" s="16">
        <v>1</v>
      </c>
      <c r="C12" s="7" t="s">
        <v>32</v>
      </c>
      <c r="D12" s="7" t="s">
        <v>33</v>
      </c>
      <c r="E12" s="7"/>
      <c r="F12" s="20">
        <v>2674.27</v>
      </c>
      <c r="G12" s="8">
        <f t="shared" si="0"/>
        <v>2057.1307692307691</v>
      </c>
      <c r="H12" s="8">
        <f>SUM(G12:G12)*19%</f>
        <v>390.85484615384615</v>
      </c>
      <c r="I12" s="9">
        <f>SUM(G12:H12)</f>
        <v>2447.9856153846154</v>
      </c>
      <c r="J12" s="2">
        <v>100</v>
      </c>
      <c r="K12" s="10">
        <f t="shared" si="1"/>
        <v>2447.9856153846154</v>
      </c>
      <c r="L12" s="17"/>
      <c r="M12" s="52">
        <f>(F12-2576.77)*($J$2/39)*B12</f>
        <v>75</v>
      </c>
      <c r="N12" s="10"/>
      <c r="O12" s="10">
        <f>SUM(G12:G12)</f>
        <v>2057.1307692307691</v>
      </c>
      <c r="P12" s="10"/>
      <c r="Q12" s="10"/>
      <c r="R12" s="10"/>
      <c r="S12" s="10"/>
      <c r="T12" s="10"/>
      <c r="U12" s="10">
        <f t="shared" ref="U12:U15" si="3">O12*$Y$2</f>
        <v>476.02005999999994</v>
      </c>
      <c r="V12" s="10">
        <f>U12+O12</f>
        <v>2533.150829230769</v>
      </c>
      <c r="W12" s="10">
        <f>K12</f>
        <v>2447.9856153846154</v>
      </c>
      <c r="X12" s="10">
        <f t="shared" ref="X12:X15" si="4">V12-I12</f>
        <v>85.16521384615362</v>
      </c>
      <c r="Y12" s="10">
        <f t="shared" ref="Y12:Y15" si="5">V12-W12-X12</f>
        <v>0</v>
      </c>
      <c r="Z12" s="8">
        <f t="shared" ref="Z12:Z17" si="6">$M$2*B12</f>
        <v>155</v>
      </c>
    </row>
    <row r="13" spans="1:26">
      <c r="A13" s="18">
        <v>46326</v>
      </c>
      <c r="B13" s="16">
        <v>1</v>
      </c>
      <c r="C13" s="7" t="s">
        <v>32</v>
      </c>
      <c r="D13" s="7" t="s">
        <v>33</v>
      </c>
      <c r="E13" s="7"/>
      <c r="F13" s="20">
        <v>2674.27</v>
      </c>
      <c r="G13" s="8">
        <f t="shared" si="0"/>
        <v>2057.1307692307691</v>
      </c>
      <c r="H13" s="8">
        <f>SUM(G13:G13)*19%</f>
        <v>390.85484615384615</v>
      </c>
      <c r="I13" s="9">
        <f t="shared" ref="I13:I47" si="7">SUM(G13:H13)</f>
        <v>2447.9856153846154</v>
      </c>
      <c r="J13" s="2">
        <v>100</v>
      </c>
      <c r="K13" s="10">
        <f t="shared" si="1"/>
        <v>2447.9856153846154</v>
      </c>
      <c r="L13" s="17"/>
      <c r="M13" s="10"/>
      <c r="N13" s="10"/>
      <c r="O13" s="10">
        <f>SUM(G13:G13)</f>
        <v>2057.1307692307691</v>
      </c>
      <c r="P13" s="10"/>
      <c r="Q13" s="10"/>
      <c r="R13" s="10"/>
      <c r="S13" s="10"/>
      <c r="T13" s="10"/>
      <c r="U13" s="10">
        <f t="shared" si="3"/>
        <v>476.02005999999994</v>
      </c>
      <c r="V13" s="10">
        <f>U13+O13</f>
        <v>2533.150829230769</v>
      </c>
      <c r="W13" s="10">
        <f t="shared" si="2"/>
        <v>2447.9856153846154</v>
      </c>
      <c r="X13" s="10">
        <f t="shared" si="4"/>
        <v>85.16521384615362</v>
      </c>
      <c r="Y13" s="10">
        <f t="shared" si="5"/>
        <v>0</v>
      </c>
      <c r="Z13" s="8">
        <f t="shared" si="6"/>
        <v>155</v>
      </c>
    </row>
    <row r="14" spans="1:26">
      <c r="A14" s="18">
        <v>46356</v>
      </c>
      <c r="B14" s="16">
        <v>1</v>
      </c>
      <c r="C14" s="7" t="s">
        <v>32</v>
      </c>
      <c r="D14" s="7" t="s">
        <v>33</v>
      </c>
      <c r="E14" s="7"/>
      <c r="F14" s="20">
        <v>2674.27</v>
      </c>
      <c r="G14" s="8">
        <f t="shared" si="0"/>
        <v>2057.1307692307691</v>
      </c>
      <c r="H14" s="8">
        <f>SUM(G14:G14)*19%</f>
        <v>390.85484615384615</v>
      </c>
      <c r="I14" s="9">
        <f t="shared" si="7"/>
        <v>2447.9856153846154</v>
      </c>
      <c r="J14" s="2">
        <v>100</v>
      </c>
      <c r="K14" s="10">
        <f t="shared" si="1"/>
        <v>2447.9856153846154</v>
      </c>
      <c r="L14" s="17"/>
      <c r="M14" s="10"/>
      <c r="N14" s="10"/>
      <c r="O14" s="10">
        <f>SUM(G14:G14)</f>
        <v>2057.1307692307691</v>
      </c>
      <c r="P14" s="10"/>
      <c r="Q14" s="10"/>
      <c r="R14" s="10"/>
      <c r="S14" s="10"/>
      <c r="T14" s="10"/>
      <c r="U14" s="10">
        <f t="shared" si="3"/>
        <v>476.02005999999994</v>
      </c>
      <c r="V14" s="10">
        <f>U14+O14</f>
        <v>2533.150829230769</v>
      </c>
      <c r="W14" s="10">
        <f t="shared" si="2"/>
        <v>2447.9856153846154</v>
      </c>
      <c r="X14" s="10">
        <f t="shared" si="4"/>
        <v>85.16521384615362</v>
      </c>
      <c r="Y14" s="10">
        <f>V14-W14-X14</f>
        <v>0</v>
      </c>
      <c r="Z14" s="8">
        <f t="shared" si="6"/>
        <v>155</v>
      </c>
    </row>
    <row r="15" spans="1:26">
      <c r="A15" s="18">
        <v>46387</v>
      </c>
      <c r="B15" s="16">
        <v>1</v>
      </c>
      <c r="C15" s="7" t="s">
        <v>32</v>
      </c>
      <c r="D15" s="7" t="s">
        <v>33</v>
      </c>
      <c r="E15" s="7"/>
      <c r="F15" s="20">
        <v>2674.27</v>
      </c>
      <c r="G15" s="8">
        <f t="shared" si="0"/>
        <v>2057.1307692307691</v>
      </c>
      <c r="H15" s="8">
        <f>SUM(G15:G15)*19%</f>
        <v>390.85484615384615</v>
      </c>
      <c r="I15" s="9">
        <f t="shared" si="7"/>
        <v>2447.9856153846154</v>
      </c>
      <c r="J15" s="2">
        <v>100</v>
      </c>
      <c r="K15" s="10">
        <f t="shared" si="1"/>
        <v>2447.9856153846154</v>
      </c>
      <c r="L15" s="17"/>
      <c r="M15" s="10"/>
      <c r="N15" s="10"/>
      <c r="O15" s="10">
        <f>SUM(G15:G15)</f>
        <v>2057.1307692307691</v>
      </c>
      <c r="P15" s="10"/>
      <c r="Q15" s="10"/>
      <c r="R15" s="10"/>
      <c r="S15" s="10"/>
      <c r="T15" s="10"/>
      <c r="U15" s="10">
        <f t="shared" si="3"/>
        <v>476.02005999999994</v>
      </c>
      <c r="V15" s="10">
        <f>U15+O15</f>
        <v>2533.150829230769</v>
      </c>
      <c r="W15" s="10">
        <f t="shared" si="2"/>
        <v>2447.9856153846154</v>
      </c>
      <c r="X15" s="10">
        <f t="shared" si="4"/>
        <v>85.16521384615362</v>
      </c>
      <c r="Y15" s="10">
        <f t="shared" si="5"/>
        <v>0</v>
      </c>
      <c r="Z15" s="8">
        <f t="shared" si="6"/>
        <v>155</v>
      </c>
    </row>
    <row r="16" spans="1:26">
      <c r="A16" s="18"/>
      <c r="B16" s="16"/>
      <c r="C16" s="7"/>
      <c r="D16" s="7"/>
      <c r="E16" s="7"/>
      <c r="F16" s="20"/>
      <c r="G16" s="8"/>
      <c r="H16" s="8"/>
      <c r="I16" s="9"/>
      <c r="J16" s="2"/>
      <c r="K16" s="10"/>
      <c r="L16" s="17">
        <f>SUM(B4:B15)</f>
        <v>4</v>
      </c>
      <c r="M16" s="10"/>
      <c r="N16" s="10"/>
      <c r="O16" s="42" t="s">
        <v>34</v>
      </c>
      <c r="P16" s="42"/>
      <c r="Q16" s="42"/>
      <c r="R16" s="42"/>
      <c r="S16" s="42"/>
      <c r="T16" s="42"/>
      <c r="U16" s="42"/>
      <c r="V16" s="42"/>
      <c r="W16" s="42"/>
      <c r="X16" s="42">
        <f>IF(V15&gt;0,O12*85%*(L16/12),0)</f>
        <v>582.85371794871787</v>
      </c>
      <c r="Y16" s="42"/>
      <c r="Z16" s="42"/>
    </row>
    <row r="17" spans="1:26">
      <c r="A17" s="18"/>
      <c r="B17" s="16"/>
      <c r="C17" s="7"/>
      <c r="D17" s="7"/>
      <c r="E17" s="7"/>
      <c r="F17" s="20"/>
      <c r="G17" s="8"/>
      <c r="H17" s="8"/>
      <c r="I17" s="14"/>
      <c r="J17" s="2"/>
      <c r="K17" s="10"/>
      <c r="M17" s="10"/>
      <c r="N17" s="10"/>
      <c r="O17" s="42" t="s">
        <v>35</v>
      </c>
      <c r="P17" s="42"/>
      <c r="Q17" s="42"/>
      <c r="R17" s="42"/>
      <c r="S17" s="42"/>
      <c r="T17" s="42"/>
      <c r="U17" s="42"/>
      <c r="V17" s="43"/>
      <c r="W17" s="42"/>
      <c r="X17" s="42">
        <f>IF(V15&gt;0,U12*85%*(L16/12),0)</f>
        <v>134.87235033333332</v>
      </c>
      <c r="Y17" s="42"/>
      <c r="Z17" s="42"/>
    </row>
    <row r="18" spans="1:26">
      <c r="A18" s="18"/>
      <c r="B18" s="16"/>
      <c r="C18" s="7"/>
      <c r="D18" s="7"/>
      <c r="E18" s="7"/>
      <c r="F18" s="20"/>
      <c r="G18" s="8"/>
      <c r="H18" s="8"/>
      <c r="I18" s="14"/>
      <c r="J18" s="2"/>
      <c r="K18" s="10"/>
      <c r="L18" s="17"/>
      <c r="M18" s="10"/>
      <c r="N18" s="10"/>
      <c r="O18" s="11">
        <f>SUM(O4:O17)</f>
        <v>8228.5230769230766</v>
      </c>
      <c r="P18" s="11">
        <f t="shared" ref="P18:Z18" si="8">SUM(P4:P17)</f>
        <v>0</v>
      </c>
      <c r="Q18" s="11">
        <f t="shared" si="8"/>
        <v>0</v>
      </c>
      <c r="R18" s="11">
        <f t="shared" si="8"/>
        <v>0</v>
      </c>
      <c r="S18" s="11">
        <f t="shared" si="8"/>
        <v>0</v>
      </c>
      <c r="T18" s="11">
        <f t="shared" si="8"/>
        <v>0</v>
      </c>
      <c r="U18" s="11">
        <f t="shared" si="8"/>
        <v>1904.0802399999998</v>
      </c>
      <c r="V18" s="11">
        <f>SUM(V4:V15)</f>
        <v>10132.603316923076</v>
      </c>
      <c r="W18" s="11">
        <f t="shared" si="8"/>
        <v>9791.9424615384614</v>
      </c>
      <c r="X18" s="11">
        <f>SUM(X4:X17)</f>
        <v>1058.3869236666656</v>
      </c>
      <c r="Y18" s="11">
        <f>SUM(Y4:Y17)</f>
        <v>0</v>
      </c>
      <c r="Z18" s="11">
        <f t="shared" si="8"/>
        <v>620</v>
      </c>
    </row>
    <row r="19" spans="1:26">
      <c r="A19" s="18">
        <v>46418</v>
      </c>
      <c r="B19" s="16">
        <v>1</v>
      </c>
      <c r="C19" s="7" t="s">
        <v>32</v>
      </c>
      <c r="D19" s="7" t="s">
        <v>33</v>
      </c>
      <c r="E19" s="7"/>
      <c r="F19" s="20">
        <v>2674.27</v>
      </c>
      <c r="G19" s="8">
        <f t="shared" si="0"/>
        <v>2057.1307692307691</v>
      </c>
      <c r="H19" s="8">
        <f>SUM(G19:G19)*19%</f>
        <v>390.85484615384615</v>
      </c>
      <c r="I19" s="9">
        <f>SUM(G19:H19)</f>
        <v>2447.9856153846154</v>
      </c>
      <c r="J19" s="2">
        <v>100</v>
      </c>
      <c r="K19" s="10">
        <f t="shared" si="1"/>
        <v>2447.9856153846154</v>
      </c>
      <c r="L19" s="17"/>
      <c r="M19" s="10"/>
      <c r="N19" s="10"/>
      <c r="O19" s="10">
        <f>SUM(G19:G19)</f>
        <v>2057.1307692307691</v>
      </c>
      <c r="P19" s="10"/>
      <c r="Q19" s="10"/>
      <c r="R19" s="10"/>
      <c r="S19" s="10"/>
      <c r="T19" s="10"/>
      <c r="U19" s="10">
        <f>O19*$Y$2</f>
        <v>476.02005999999994</v>
      </c>
      <c r="V19" s="10">
        <f>SUM(O19:U19)</f>
        <v>2533.150829230769</v>
      </c>
      <c r="W19" s="10">
        <f t="shared" ref="W19:W31" si="9">K19</f>
        <v>2447.9856153846154</v>
      </c>
      <c r="X19" s="10">
        <f>V19-I19</f>
        <v>85.16521384615362</v>
      </c>
      <c r="Y19" s="10">
        <f>V19-W19-X19</f>
        <v>0</v>
      </c>
      <c r="Z19" s="10">
        <f>$M$2*B19</f>
        <v>155</v>
      </c>
    </row>
    <row r="20" spans="1:26">
      <c r="A20" s="18">
        <v>46433</v>
      </c>
      <c r="B20" s="16">
        <v>0.5</v>
      </c>
      <c r="C20" s="7" t="s">
        <v>32</v>
      </c>
      <c r="D20" s="7" t="s">
        <v>33</v>
      </c>
      <c r="E20" s="7"/>
      <c r="F20" s="20">
        <v>2674.27</v>
      </c>
      <c r="G20" s="8">
        <f t="shared" si="0"/>
        <v>1028.5653846153846</v>
      </c>
      <c r="H20" s="8">
        <f>SUM(G20:G20)*19%</f>
        <v>195.42742307692308</v>
      </c>
      <c r="I20" s="9">
        <f t="shared" si="7"/>
        <v>1223.9928076923077</v>
      </c>
      <c r="J20" s="53">
        <v>100</v>
      </c>
      <c r="K20" s="10">
        <f t="shared" si="1"/>
        <v>1223.9928076923077</v>
      </c>
      <c r="L20" s="17"/>
      <c r="M20" s="10"/>
      <c r="N20" s="10"/>
      <c r="O20" s="10">
        <f>SUM(G20:G20)</f>
        <v>1028.5653846153846</v>
      </c>
      <c r="P20" s="10"/>
      <c r="Q20" s="10"/>
      <c r="R20" s="10"/>
      <c r="S20" s="10"/>
      <c r="T20" s="10"/>
      <c r="U20" s="10">
        <f t="shared" ref="U20:U31" si="10">O20*$Y$2</f>
        <v>238.01002999999997</v>
      </c>
      <c r="V20" s="10">
        <f t="shared" ref="V20:V31" si="11">SUM(O20:U20)</f>
        <v>1266.5754146153845</v>
      </c>
      <c r="W20" s="10">
        <f t="shared" si="9"/>
        <v>1223.9928076923077</v>
      </c>
      <c r="X20" s="10">
        <f t="shared" ref="X20:X31" si="12">V20-I20</f>
        <v>42.58260692307681</v>
      </c>
      <c r="Y20" s="10">
        <f t="shared" ref="Y20:Y31" si="13">V20-W20-X20</f>
        <v>0</v>
      </c>
      <c r="Z20" s="10">
        <f t="shared" ref="Z20:Z31" si="14">$M$2*B20</f>
        <v>77.5</v>
      </c>
    </row>
    <row r="21" spans="1:26">
      <c r="A21" s="18">
        <v>46446</v>
      </c>
      <c r="B21" s="16">
        <v>0.5</v>
      </c>
      <c r="C21" s="7" t="s">
        <v>32</v>
      </c>
      <c r="D21" s="7" t="s">
        <v>36</v>
      </c>
      <c r="E21" s="7"/>
      <c r="F21" s="20">
        <v>2674.27</v>
      </c>
      <c r="G21" s="8">
        <f t="shared" ref="G21" si="15">F21*($J$2/39)*B21</f>
        <v>1028.5653846153846</v>
      </c>
      <c r="H21" s="8">
        <f>SUM(G21:G21)*19%</f>
        <v>195.42742307692308</v>
      </c>
      <c r="I21" s="9">
        <f t="shared" ref="I21" si="16">SUM(G21:H21)</f>
        <v>1223.9928076923077</v>
      </c>
      <c r="J21" s="53">
        <v>90</v>
      </c>
      <c r="K21" s="10">
        <f t="shared" ref="K21" si="17">I21*J21%</f>
        <v>1101.593526923077</v>
      </c>
      <c r="L21" s="17"/>
      <c r="M21" s="10"/>
      <c r="N21" s="10"/>
      <c r="O21" s="10">
        <f>SUM(G21:G21)</f>
        <v>1028.5653846153846</v>
      </c>
      <c r="P21" s="10"/>
      <c r="Q21" s="10"/>
      <c r="R21" s="10"/>
      <c r="S21" s="10"/>
      <c r="T21" s="10"/>
      <c r="U21" s="10">
        <f t="shared" ref="U21" si="18">O21*$Y$2</f>
        <v>238.01002999999997</v>
      </c>
      <c r="V21" s="10">
        <f t="shared" ref="V21" si="19">SUM(O21:U21)</f>
        <v>1266.5754146153845</v>
      </c>
      <c r="W21" s="10">
        <f t="shared" ref="W21" si="20">K21</f>
        <v>1101.593526923077</v>
      </c>
      <c r="X21" s="10">
        <f t="shared" ref="X21" si="21">V21-I21</f>
        <v>42.58260692307681</v>
      </c>
      <c r="Y21" s="10">
        <f t="shared" ref="Y21" si="22">V21-W21-X21</f>
        <v>122.3992807692307</v>
      </c>
      <c r="Z21" s="10">
        <f t="shared" ref="Z21" si="23">$M$2*B21</f>
        <v>77.5</v>
      </c>
    </row>
    <row r="22" spans="1:26">
      <c r="A22" s="18">
        <v>46477</v>
      </c>
      <c r="B22" s="16">
        <v>1</v>
      </c>
      <c r="C22" s="7" t="s">
        <v>32</v>
      </c>
      <c r="D22" s="7" t="s">
        <v>33</v>
      </c>
      <c r="E22" s="7"/>
      <c r="F22" s="20">
        <v>2674.27</v>
      </c>
      <c r="G22" s="8">
        <f t="shared" si="0"/>
        <v>2057.1307692307691</v>
      </c>
      <c r="H22" s="8">
        <f>SUM(G22:G22)*19%</f>
        <v>390.85484615384615</v>
      </c>
      <c r="I22" s="9">
        <f t="shared" si="7"/>
        <v>2447.9856153846154</v>
      </c>
      <c r="J22" s="2">
        <v>90</v>
      </c>
      <c r="K22" s="10">
        <f t="shared" si="1"/>
        <v>2203.187053846154</v>
      </c>
      <c r="L22" s="17"/>
      <c r="M22" s="10"/>
      <c r="N22" s="10"/>
      <c r="O22" s="10">
        <f>SUM(G22:G22)</f>
        <v>2057.1307692307691</v>
      </c>
      <c r="P22" s="10"/>
      <c r="Q22" s="10"/>
      <c r="R22" s="10"/>
      <c r="S22" s="10"/>
      <c r="T22" s="10"/>
      <c r="U22" s="10">
        <f t="shared" si="10"/>
        <v>476.02005999999994</v>
      </c>
      <c r="V22" s="10">
        <f t="shared" si="11"/>
        <v>2533.150829230769</v>
      </c>
      <c r="W22" s="10">
        <f t="shared" si="9"/>
        <v>2203.187053846154</v>
      </c>
      <c r="X22" s="10">
        <f t="shared" si="12"/>
        <v>85.16521384615362</v>
      </c>
      <c r="Y22" s="10">
        <f t="shared" si="13"/>
        <v>244.7985615384614</v>
      </c>
      <c r="Z22" s="10">
        <f t="shared" si="14"/>
        <v>155</v>
      </c>
    </row>
    <row r="23" spans="1:26">
      <c r="A23" s="18">
        <v>46507</v>
      </c>
      <c r="B23" s="16">
        <v>1</v>
      </c>
      <c r="C23" s="7" t="s">
        <v>32</v>
      </c>
      <c r="D23" s="7" t="s">
        <v>33</v>
      </c>
      <c r="E23" s="7"/>
      <c r="F23" s="20">
        <v>2674.27</v>
      </c>
      <c r="G23" s="8">
        <f t="shared" si="0"/>
        <v>2057.1307692307691</v>
      </c>
      <c r="H23" s="8">
        <f>SUM(G23:G23)*19%</f>
        <v>390.85484615384615</v>
      </c>
      <c r="I23" s="9">
        <f>SUM(G23:H23)</f>
        <v>2447.9856153846154</v>
      </c>
      <c r="J23" s="2">
        <v>90</v>
      </c>
      <c r="K23" s="10">
        <f t="shared" si="1"/>
        <v>2203.187053846154</v>
      </c>
      <c r="L23" s="17"/>
      <c r="M23" s="10"/>
      <c r="N23" s="10"/>
      <c r="O23" s="10">
        <f>SUM(G23:G23)</f>
        <v>2057.1307692307691</v>
      </c>
      <c r="P23" s="10"/>
      <c r="Q23" s="10"/>
      <c r="R23" s="10"/>
      <c r="S23" s="10"/>
      <c r="T23" s="10"/>
      <c r="U23" s="10">
        <f t="shared" si="10"/>
        <v>476.02005999999994</v>
      </c>
      <c r="V23" s="10">
        <f t="shared" si="11"/>
        <v>2533.150829230769</v>
      </c>
      <c r="W23" s="10">
        <f t="shared" si="9"/>
        <v>2203.187053846154</v>
      </c>
      <c r="X23" s="10">
        <f t="shared" si="12"/>
        <v>85.16521384615362</v>
      </c>
      <c r="Y23" s="10">
        <f t="shared" si="13"/>
        <v>244.7985615384614</v>
      </c>
      <c r="Z23" s="10">
        <f t="shared" si="14"/>
        <v>155</v>
      </c>
    </row>
    <row r="24" spans="1:26">
      <c r="A24" s="18">
        <v>46538</v>
      </c>
      <c r="B24" s="16">
        <v>1</v>
      </c>
      <c r="C24" s="7" t="s">
        <v>32</v>
      </c>
      <c r="D24" s="7" t="s">
        <v>33</v>
      </c>
      <c r="E24" s="7"/>
      <c r="F24" s="20">
        <v>2674.27</v>
      </c>
      <c r="G24" s="8">
        <f t="shared" si="0"/>
        <v>2057.1307692307691</v>
      </c>
      <c r="H24" s="8">
        <f>SUM(G24:G24)*19%</f>
        <v>390.85484615384615</v>
      </c>
      <c r="I24" s="9">
        <f t="shared" si="7"/>
        <v>2447.9856153846154</v>
      </c>
      <c r="J24" s="2">
        <v>90</v>
      </c>
      <c r="K24" s="10">
        <f t="shared" si="1"/>
        <v>2203.187053846154</v>
      </c>
      <c r="L24" s="17"/>
      <c r="M24" s="10"/>
      <c r="N24" s="10"/>
      <c r="O24" s="10">
        <f>SUM(G24:G24)</f>
        <v>2057.1307692307691</v>
      </c>
      <c r="P24" s="10"/>
      <c r="Q24" s="10"/>
      <c r="R24" s="10"/>
      <c r="S24" s="10"/>
      <c r="T24" s="10"/>
      <c r="U24" s="10">
        <f t="shared" si="10"/>
        <v>476.02005999999994</v>
      </c>
      <c r="V24" s="10">
        <f t="shared" si="11"/>
        <v>2533.150829230769</v>
      </c>
      <c r="W24" s="10">
        <f t="shared" si="9"/>
        <v>2203.187053846154</v>
      </c>
      <c r="X24" s="10">
        <f t="shared" si="12"/>
        <v>85.16521384615362</v>
      </c>
      <c r="Y24" s="10">
        <f t="shared" si="13"/>
        <v>244.7985615384614</v>
      </c>
      <c r="Z24" s="10">
        <f t="shared" si="14"/>
        <v>155</v>
      </c>
    </row>
    <row r="25" spans="1:26">
      <c r="A25" s="18">
        <v>46568</v>
      </c>
      <c r="B25" s="16">
        <v>1</v>
      </c>
      <c r="C25" s="7" t="s">
        <v>32</v>
      </c>
      <c r="D25" s="7" t="s">
        <v>33</v>
      </c>
      <c r="E25" s="7"/>
      <c r="F25" s="20">
        <v>2674.27</v>
      </c>
      <c r="G25" s="8">
        <f t="shared" si="0"/>
        <v>2057.1307692307691</v>
      </c>
      <c r="H25" s="8">
        <f>SUM(G25:G25)*19%</f>
        <v>390.85484615384615</v>
      </c>
      <c r="I25" s="9">
        <f t="shared" si="7"/>
        <v>2447.9856153846154</v>
      </c>
      <c r="J25" s="2">
        <v>90</v>
      </c>
      <c r="K25" s="10">
        <f t="shared" si="1"/>
        <v>2203.187053846154</v>
      </c>
      <c r="L25" s="17"/>
      <c r="M25" s="10"/>
      <c r="N25" s="10"/>
      <c r="O25" s="10">
        <f>SUM(G25:G25)</f>
        <v>2057.1307692307691</v>
      </c>
      <c r="P25" s="10"/>
      <c r="Q25" s="10"/>
      <c r="R25" s="10"/>
      <c r="S25" s="10"/>
      <c r="T25" s="10"/>
      <c r="U25" s="10">
        <f t="shared" si="10"/>
        <v>476.02005999999994</v>
      </c>
      <c r="V25" s="10">
        <f t="shared" si="11"/>
        <v>2533.150829230769</v>
      </c>
      <c r="W25" s="10">
        <f t="shared" si="9"/>
        <v>2203.187053846154</v>
      </c>
      <c r="X25" s="10">
        <f t="shared" si="12"/>
        <v>85.16521384615362</v>
      </c>
      <c r="Y25" s="10">
        <f t="shared" si="13"/>
        <v>244.7985615384614</v>
      </c>
      <c r="Z25" s="10">
        <f t="shared" si="14"/>
        <v>155</v>
      </c>
    </row>
    <row r="26" spans="1:26">
      <c r="A26" s="47">
        <v>46599</v>
      </c>
      <c r="B26" s="16">
        <v>1</v>
      </c>
      <c r="C26" s="7" t="s">
        <v>32</v>
      </c>
      <c r="D26" s="7" t="s">
        <v>33</v>
      </c>
      <c r="E26" s="7"/>
      <c r="F26" s="20">
        <f>$F$25*1.02</f>
        <v>2727.7554</v>
      </c>
      <c r="G26" s="8">
        <f t="shared" si="0"/>
        <v>2098.2733846153847</v>
      </c>
      <c r="H26" s="8">
        <f>SUM(G26:G26)*19%</f>
        <v>398.67194307692307</v>
      </c>
      <c r="I26" s="9">
        <f t="shared" si="7"/>
        <v>2496.9453276923077</v>
      </c>
      <c r="J26" s="2">
        <v>90</v>
      </c>
      <c r="K26" s="10">
        <f t="shared" si="1"/>
        <v>2247.2507949230771</v>
      </c>
      <c r="L26" s="17"/>
      <c r="M26" s="52">
        <f>(F26-F25)*($J$2/39)*B26</f>
        <v>41.142615384615411</v>
      </c>
      <c r="N26" s="10"/>
      <c r="O26" s="10">
        <f>SUM(G26:G26)</f>
        <v>2098.2733846153847</v>
      </c>
      <c r="P26" s="10"/>
      <c r="Q26" s="10"/>
      <c r="R26" s="10"/>
      <c r="S26" s="10"/>
      <c r="T26" s="10"/>
      <c r="U26" s="10">
        <f t="shared" si="10"/>
        <v>485.54046119999998</v>
      </c>
      <c r="V26" s="10">
        <f>SUM(O26:U26)</f>
        <v>2583.8138458153844</v>
      </c>
      <c r="W26" s="10">
        <f t="shared" si="9"/>
        <v>2247.2507949230771</v>
      </c>
      <c r="X26" s="10">
        <f t="shared" si="12"/>
        <v>86.868518123076683</v>
      </c>
      <c r="Y26" s="10">
        <f t="shared" si="13"/>
        <v>249.69453276923059</v>
      </c>
      <c r="Z26" s="10">
        <f t="shared" si="14"/>
        <v>155</v>
      </c>
    </row>
    <row r="27" spans="1:26">
      <c r="A27" s="18">
        <v>46630</v>
      </c>
      <c r="B27" s="16">
        <v>1</v>
      </c>
      <c r="C27" s="7" t="s">
        <v>32</v>
      </c>
      <c r="D27" s="7" t="s">
        <v>33</v>
      </c>
      <c r="E27" s="7"/>
      <c r="F27" s="20">
        <f>$F$25*1.02</f>
        <v>2727.7554</v>
      </c>
      <c r="G27" s="8">
        <f t="shared" si="0"/>
        <v>2098.2733846153847</v>
      </c>
      <c r="H27" s="8">
        <f>SUM(G27:G27)*19%</f>
        <v>398.67194307692307</v>
      </c>
      <c r="I27" s="9">
        <f t="shared" si="7"/>
        <v>2496.9453276923077</v>
      </c>
      <c r="J27" s="2">
        <v>90</v>
      </c>
      <c r="K27" s="10">
        <f t="shared" si="1"/>
        <v>2247.2507949230771</v>
      </c>
      <c r="L27" s="17"/>
      <c r="M27" s="10"/>
      <c r="N27" s="10"/>
      <c r="O27" s="10">
        <f>SUM(G27:G27)</f>
        <v>2098.2733846153847</v>
      </c>
      <c r="P27" s="10"/>
      <c r="Q27" s="10"/>
      <c r="R27" s="10"/>
      <c r="S27" s="10"/>
      <c r="T27" s="10"/>
      <c r="U27" s="10">
        <f t="shared" si="10"/>
        <v>485.54046119999998</v>
      </c>
      <c r="V27" s="10">
        <f t="shared" si="11"/>
        <v>2583.8138458153844</v>
      </c>
      <c r="W27" s="10">
        <f t="shared" si="9"/>
        <v>2247.2507949230771</v>
      </c>
      <c r="X27" s="10">
        <f t="shared" si="12"/>
        <v>86.868518123076683</v>
      </c>
      <c r="Y27" s="10">
        <f t="shared" si="13"/>
        <v>249.69453276923059</v>
      </c>
      <c r="Z27" s="10">
        <f t="shared" si="14"/>
        <v>155</v>
      </c>
    </row>
    <row r="28" spans="1:26">
      <c r="A28" s="48">
        <v>46660</v>
      </c>
      <c r="B28" s="16">
        <v>1</v>
      </c>
      <c r="C28" s="7" t="s">
        <v>32</v>
      </c>
      <c r="D28" s="7" t="s">
        <v>33</v>
      </c>
      <c r="E28" s="7"/>
      <c r="F28" s="20">
        <v>2937</v>
      </c>
      <c r="G28" s="8">
        <f t="shared" si="0"/>
        <v>2259.2307692307695</v>
      </c>
      <c r="H28" s="8">
        <f>SUM(G28:G28)*19%</f>
        <v>429.25384615384621</v>
      </c>
      <c r="I28" s="9">
        <f t="shared" si="7"/>
        <v>2688.4846153846156</v>
      </c>
      <c r="J28" s="2">
        <v>90</v>
      </c>
      <c r="K28" s="10">
        <f t="shared" si="1"/>
        <v>2419.6361538461542</v>
      </c>
      <c r="L28" s="17"/>
      <c r="M28" s="10"/>
      <c r="N28" s="10"/>
      <c r="O28" s="10">
        <f>SUM(G28:G28)</f>
        <v>2259.2307692307695</v>
      </c>
      <c r="P28" s="10"/>
      <c r="Q28" s="10"/>
      <c r="R28" s="10"/>
      <c r="S28" s="10"/>
      <c r="T28" s="10"/>
      <c r="U28" s="10">
        <f t="shared" si="10"/>
        <v>522.78600000000006</v>
      </c>
      <c r="V28" s="10">
        <f t="shared" si="11"/>
        <v>2782.0167692307696</v>
      </c>
      <c r="W28" s="10">
        <f t="shared" si="9"/>
        <v>2419.6361538461542</v>
      </c>
      <c r="X28" s="10">
        <f t="shared" si="12"/>
        <v>93.53215384615396</v>
      </c>
      <c r="Y28" s="10">
        <f t="shared" si="13"/>
        <v>268.84846153846138</v>
      </c>
      <c r="Z28" s="10">
        <f t="shared" si="14"/>
        <v>155</v>
      </c>
    </row>
    <row r="29" spans="1:26">
      <c r="A29" s="18">
        <v>46691</v>
      </c>
      <c r="B29" s="16">
        <v>1</v>
      </c>
      <c r="C29" s="7" t="s">
        <v>32</v>
      </c>
      <c r="D29" s="7" t="s">
        <v>33</v>
      </c>
      <c r="E29" s="7"/>
      <c r="F29" s="20">
        <v>2937</v>
      </c>
      <c r="G29" s="8">
        <f t="shared" si="0"/>
        <v>2259.2307692307695</v>
      </c>
      <c r="H29" s="8">
        <f>SUM(G29:G29)*19%</f>
        <v>429.25384615384621</v>
      </c>
      <c r="I29" s="9">
        <f t="shared" si="7"/>
        <v>2688.4846153846156</v>
      </c>
      <c r="J29" s="2">
        <v>90</v>
      </c>
      <c r="K29" s="10">
        <f t="shared" si="1"/>
        <v>2419.6361538461542</v>
      </c>
      <c r="L29" s="17"/>
      <c r="M29" s="10"/>
      <c r="N29" s="10"/>
      <c r="O29" s="10">
        <f>SUM(G29:G29)</f>
        <v>2259.2307692307695</v>
      </c>
      <c r="P29" s="10"/>
      <c r="Q29" s="10"/>
      <c r="R29" s="10"/>
      <c r="S29" s="10"/>
      <c r="T29" s="10"/>
      <c r="U29" s="10">
        <f t="shared" si="10"/>
        <v>522.78600000000006</v>
      </c>
      <c r="V29" s="10">
        <f t="shared" si="11"/>
        <v>2782.0167692307696</v>
      </c>
      <c r="W29" s="10">
        <f t="shared" si="9"/>
        <v>2419.6361538461542</v>
      </c>
      <c r="X29" s="10">
        <f t="shared" si="12"/>
        <v>93.53215384615396</v>
      </c>
      <c r="Y29" s="10">
        <f t="shared" si="13"/>
        <v>268.84846153846138</v>
      </c>
      <c r="Z29" s="10">
        <f t="shared" si="14"/>
        <v>155</v>
      </c>
    </row>
    <row r="30" spans="1:26">
      <c r="A30" s="18">
        <v>46721</v>
      </c>
      <c r="B30" s="16">
        <v>1</v>
      </c>
      <c r="C30" s="7" t="s">
        <v>32</v>
      </c>
      <c r="D30" s="7" t="s">
        <v>33</v>
      </c>
      <c r="E30" s="7"/>
      <c r="F30" s="20">
        <v>2937</v>
      </c>
      <c r="G30" s="8">
        <f t="shared" si="0"/>
        <v>2259.2307692307695</v>
      </c>
      <c r="H30" s="8">
        <f>SUM(G30:G30)*19%</f>
        <v>429.25384615384621</v>
      </c>
      <c r="I30" s="9">
        <f t="shared" si="7"/>
        <v>2688.4846153846156</v>
      </c>
      <c r="J30" s="2">
        <v>90</v>
      </c>
      <c r="K30" s="10">
        <f t="shared" si="1"/>
        <v>2419.6361538461542</v>
      </c>
      <c r="L30" s="17"/>
      <c r="M30" s="10"/>
      <c r="N30" s="10"/>
      <c r="O30" s="10">
        <f>SUM(G30:G30)</f>
        <v>2259.2307692307695</v>
      </c>
      <c r="P30" s="10"/>
      <c r="Q30" s="10"/>
      <c r="R30" s="10"/>
      <c r="S30" s="10"/>
      <c r="T30" s="10"/>
      <c r="U30" s="10">
        <f t="shared" si="10"/>
        <v>522.78600000000006</v>
      </c>
      <c r="V30" s="10">
        <f t="shared" si="11"/>
        <v>2782.0167692307696</v>
      </c>
      <c r="W30" s="10">
        <f t="shared" si="9"/>
        <v>2419.6361538461542</v>
      </c>
      <c r="X30" s="10">
        <f t="shared" si="12"/>
        <v>93.53215384615396</v>
      </c>
      <c r="Y30" s="10">
        <f t="shared" si="13"/>
        <v>268.84846153846138</v>
      </c>
      <c r="Z30" s="10">
        <f t="shared" si="14"/>
        <v>155</v>
      </c>
    </row>
    <row r="31" spans="1:26">
      <c r="A31" s="18">
        <v>46752</v>
      </c>
      <c r="B31" s="16">
        <v>1</v>
      </c>
      <c r="C31" s="7" t="s">
        <v>32</v>
      </c>
      <c r="D31" s="7" t="s">
        <v>33</v>
      </c>
      <c r="E31" s="7"/>
      <c r="F31" s="20">
        <v>2937</v>
      </c>
      <c r="G31" s="8">
        <f t="shared" si="0"/>
        <v>2259.2307692307695</v>
      </c>
      <c r="H31" s="8">
        <f>SUM(G31:G31)*19%</f>
        <v>429.25384615384621</v>
      </c>
      <c r="I31" s="9">
        <f t="shared" si="7"/>
        <v>2688.4846153846156</v>
      </c>
      <c r="J31" s="2">
        <v>90</v>
      </c>
      <c r="K31" s="10">
        <f t="shared" si="1"/>
        <v>2419.6361538461542</v>
      </c>
      <c r="L31" s="17"/>
      <c r="M31" s="10"/>
      <c r="N31" s="10"/>
      <c r="O31" s="10">
        <f>SUM(G31:G31)</f>
        <v>2259.2307692307695</v>
      </c>
      <c r="P31" s="10"/>
      <c r="Q31" s="10"/>
      <c r="R31" s="10"/>
      <c r="S31" s="10"/>
      <c r="T31" s="10"/>
      <c r="U31" s="10">
        <f t="shared" si="10"/>
        <v>522.78600000000006</v>
      </c>
      <c r="V31" s="10">
        <f t="shared" si="11"/>
        <v>2782.0167692307696</v>
      </c>
      <c r="W31" s="10">
        <f t="shared" si="9"/>
        <v>2419.6361538461542</v>
      </c>
      <c r="X31" s="10">
        <f t="shared" si="12"/>
        <v>93.53215384615396</v>
      </c>
      <c r="Y31" s="10">
        <f t="shared" si="13"/>
        <v>268.84846153846138</v>
      </c>
      <c r="Z31" s="10">
        <f>$M$2*B31</f>
        <v>155</v>
      </c>
    </row>
    <row r="32" spans="1:26">
      <c r="A32" s="18"/>
      <c r="B32" s="16"/>
      <c r="C32" s="7"/>
      <c r="D32" s="7"/>
      <c r="E32" s="7"/>
      <c r="F32" s="20"/>
      <c r="G32" s="8"/>
      <c r="H32" s="8"/>
      <c r="I32" s="14"/>
      <c r="J32" s="2"/>
      <c r="K32" s="10"/>
      <c r="L32" s="17">
        <f>SUM(B19:B31)</f>
        <v>12</v>
      </c>
      <c r="M32" s="10"/>
      <c r="N32" s="10"/>
      <c r="O32" s="42" t="s">
        <v>34</v>
      </c>
      <c r="P32" s="42"/>
      <c r="Q32" s="42"/>
      <c r="R32" s="42"/>
      <c r="S32" s="42"/>
      <c r="T32" s="42"/>
      <c r="U32" s="42"/>
      <c r="V32" s="42"/>
      <c r="W32" s="42"/>
      <c r="X32" s="42">
        <f>IF(V31&gt;0,O28*85%*(L32/12),0)</f>
        <v>1920.346153846154</v>
      </c>
      <c r="Y32" s="43"/>
      <c r="Z32" s="42"/>
    </row>
    <row r="33" spans="1:26">
      <c r="A33" s="18"/>
      <c r="B33" s="16"/>
      <c r="C33" s="7"/>
      <c r="D33" s="7"/>
      <c r="E33" s="7"/>
      <c r="F33" s="20"/>
      <c r="G33" s="8"/>
      <c r="H33" s="8"/>
      <c r="I33" s="14"/>
      <c r="J33" s="2"/>
      <c r="K33" s="10"/>
      <c r="M33" s="10"/>
      <c r="N33" s="10"/>
      <c r="O33" s="42" t="s">
        <v>35</v>
      </c>
      <c r="P33" s="42"/>
      <c r="Q33" s="42"/>
      <c r="R33" s="42"/>
      <c r="S33" s="42"/>
      <c r="T33" s="42"/>
      <c r="U33" s="42"/>
      <c r="V33" s="43"/>
      <c r="W33" s="42"/>
      <c r="X33" s="42">
        <f>IF(V31&gt;0,U28*85%*(L32/12),0)</f>
        <v>444.36810000000003</v>
      </c>
      <c r="Y33" s="43"/>
      <c r="Z33" s="42"/>
    </row>
    <row r="34" spans="1:26">
      <c r="A34" s="18"/>
      <c r="B34" s="16"/>
      <c r="C34" s="7"/>
      <c r="D34" s="7"/>
      <c r="E34" s="7"/>
      <c r="F34" s="20"/>
      <c r="G34" s="8"/>
      <c r="H34" s="8"/>
      <c r="I34" s="14"/>
      <c r="J34" s="2"/>
      <c r="K34" s="10"/>
      <c r="L34" s="17"/>
      <c r="M34" s="10"/>
      <c r="N34" s="10"/>
      <c r="O34" s="11">
        <f>SUM(O19:O33)</f>
        <v>25576.254461538461</v>
      </c>
      <c r="P34" s="11">
        <f t="shared" ref="P34:U34" si="24">SUM(P19:P33)</f>
        <v>0</v>
      </c>
      <c r="Q34" s="11">
        <f t="shared" si="24"/>
        <v>0</v>
      </c>
      <c r="R34" s="11">
        <f t="shared" si="24"/>
        <v>0</v>
      </c>
      <c r="S34" s="11">
        <f t="shared" si="24"/>
        <v>0</v>
      </c>
      <c r="T34" s="11">
        <f t="shared" si="24"/>
        <v>0</v>
      </c>
      <c r="U34" s="11">
        <f t="shared" si="24"/>
        <v>5918.3452823999996</v>
      </c>
      <c r="V34" s="11">
        <f>SUM(V19:V31)</f>
        <v>31494.599743938463</v>
      </c>
      <c r="W34" s="11">
        <f t="shared" ref="W34" si="25">SUM(W19:W33)</f>
        <v>27759.366370615382</v>
      </c>
      <c r="X34" s="11">
        <f>SUM(X19:X33)</f>
        <v>3423.5711885538453</v>
      </c>
      <c r="Y34" s="11">
        <f>SUM(Y19:Y33)</f>
        <v>2676.376438615383</v>
      </c>
      <c r="Z34" s="11">
        <f t="shared" ref="Z34" si="26">SUM(Z19:Z33)</f>
        <v>1860</v>
      </c>
    </row>
    <row r="35" spans="1:26">
      <c r="A35" s="18">
        <v>46783</v>
      </c>
      <c r="B35" s="16">
        <v>1</v>
      </c>
      <c r="C35" s="7" t="s">
        <v>32</v>
      </c>
      <c r="D35" s="7" t="s">
        <v>33</v>
      </c>
      <c r="E35" s="7"/>
      <c r="F35" s="20">
        <v>2937</v>
      </c>
      <c r="G35" s="8">
        <f t="shared" si="0"/>
        <v>2259.2307692307695</v>
      </c>
      <c r="H35" s="8">
        <f>SUM(G35:G35)*19%</f>
        <v>429.25384615384621</v>
      </c>
      <c r="I35" s="9">
        <f t="shared" si="7"/>
        <v>2688.4846153846156</v>
      </c>
      <c r="J35" s="2">
        <v>90</v>
      </c>
      <c r="K35" s="10">
        <f t="shared" si="1"/>
        <v>2419.6361538461542</v>
      </c>
      <c r="L35" s="17"/>
      <c r="M35" s="10"/>
      <c r="N35" s="10"/>
      <c r="O35" s="10">
        <f>SUM(G35:G35)</f>
        <v>2259.2307692307695</v>
      </c>
      <c r="P35" s="10"/>
      <c r="Q35" s="10"/>
      <c r="R35" s="10"/>
      <c r="S35" s="10"/>
      <c r="T35" s="10"/>
      <c r="U35" s="10">
        <f>O35*$Y$2</f>
        <v>522.78600000000006</v>
      </c>
      <c r="V35" s="10">
        <f>O35+U35</f>
        <v>2782.0167692307696</v>
      </c>
      <c r="W35" s="10">
        <f t="shared" ref="W35:W47" si="27">K35</f>
        <v>2419.6361538461542</v>
      </c>
      <c r="X35" s="10">
        <f>V35-I35</f>
        <v>93.53215384615396</v>
      </c>
      <c r="Y35" s="10">
        <f>V35-W35-X35</f>
        <v>268.84846153846138</v>
      </c>
      <c r="Z35" s="10">
        <f>$M$2*B35</f>
        <v>155</v>
      </c>
    </row>
    <row r="36" spans="1:26">
      <c r="A36" s="18">
        <v>46798</v>
      </c>
      <c r="B36" s="16">
        <v>0.5</v>
      </c>
      <c r="C36" s="7" t="s">
        <v>32</v>
      </c>
      <c r="D36" s="7" t="s">
        <v>33</v>
      </c>
      <c r="E36" s="7"/>
      <c r="F36" s="20">
        <v>2937</v>
      </c>
      <c r="G36" s="8">
        <f t="shared" si="0"/>
        <v>1129.6153846153848</v>
      </c>
      <c r="H36" s="8">
        <f>SUM(G36:G36)*19%</f>
        <v>214.62692307692311</v>
      </c>
      <c r="I36" s="9">
        <f t="shared" si="7"/>
        <v>1344.2423076923078</v>
      </c>
      <c r="J36" s="53">
        <v>90</v>
      </c>
      <c r="K36" s="10">
        <f t="shared" si="1"/>
        <v>1209.8180769230771</v>
      </c>
      <c r="L36" s="17"/>
      <c r="M36" s="10"/>
      <c r="N36" s="10"/>
      <c r="O36" s="10">
        <f>SUM(G36:G36)</f>
        <v>1129.6153846153848</v>
      </c>
      <c r="P36" s="10"/>
      <c r="Q36" s="10"/>
      <c r="R36" s="10"/>
      <c r="S36" s="10"/>
      <c r="T36" s="10"/>
      <c r="U36" s="10">
        <f t="shared" ref="U36:U47" si="28">O36*$Y$2</f>
        <v>261.39300000000003</v>
      </c>
      <c r="V36" s="10">
        <f>O36+U36</f>
        <v>1391.0083846153848</v>
      </c>
      <c r="W36" s="10">
        <f t="shared" si="27"/>
        <v>1209.8180769230771</v>
      </c>
      <c r="X36" s="10">
        <f t="shared" ref="X36:X47" si="29">V36-I36</f>
        <v>46.76607692307698</v>
      </c>
      <c r="Y36" s="10">
        <f t="shared" ref="Y36:Y47" si="30">V36-W36-X36</f>
        <v>134.42423076923069</v>
      </c>
      <c r="Z36" s="10">
        <f t="shared" ref="Z36:Z47" si="31">$M$2*B36</f>
        <v>77.5</v>
      </c>
    </row>
    <row r="37" spans="1:26">
      <c r="A37" s="18">
        <v>46812</v>
      </c>
      <c r="B37" s="16">
        <v>0.5</v>
      </c>
      <c r="C37" s="7" t="s">
        <v>32</v>
      </c>
      <c r="D37" s="7" t="s">
        <v>36</v>
      </c>
      <c r="E37" s="7"/>
      <c r="F37" s="20">
        <v>2937</v>
      </c>
      <c r="G37" s="8">
        <f t="shared" ref="G37" si="32">F37*($J$2/39)*B37</f>
        <v>1129.6153846153848</v>
      </c>
      <c r="H37" s="8">
        <f>SUM(G37:G37)*19%</f>
        <v>214.62692307692311</v>
      </c>
      <c r="I37" s="9">
        <f t="shared" ref="I37" si="33">SUM(G37:H37)</f>
        <v>1344.2423076923078</v>
      </c>
      <c r="J37" s="53">
        <v>80</v>
      </c>
      <c r="K37" s="10">
        <f t="shared" ref="K37" si="34">I37*J37%</f>
        <v>1075.3938461538462</v>
      </c>
      <c r="L37" s="17"/>
      <c r="M37" s="10"/>
      <c r="N37" s="10"/>
      <c r="O37" s="10">
        <f>SUM(G37:G37)</f>
        <v>1129.6153846153848</v>
      </c>
      <c r="P37" s="10"/>
      <c r="Q37" s="10"/>
      <c r="R37" s="10"/>
      <c r="S37" s="10"/>
      <c r="T37" s="10"/>
      <c r="U37" s="10">
        <f t="shared" ref="U37" si="35">O37*$Y$2</f>
        <v>261.39300000000003</v>
      </c>
      <c r="V37" s="10">
        <f>O37+U37</f>
        <v>1391.0083846153848</v>
      </c>
      <c r="W37" s="10">
        <f t="shared" ref="W37" si="36">K37</f>
        <v>1075.3938461538462</v>
      </c>
      <c r="X37" s="10">
        <f t="shared" ref="X37" si="37">V37-I37</f>
        <v>46.76607692307698</v>
      </c>
      <c r="Y37" s="10">
        <f t="shared" ref="Y37" si="38">V37-W37-X37</f>
        <v>268.84846153846161</v>
      </c>
      <c r="Z37" s="10">
        <f t="shared" ref="Z37" si="39">$M$2*B37</f>
        <v>77.5</v>
      </c>
    </row>
    <row r="38" spans="1:26">
      <c r="A38" s="18">
        <v>46843</v>
      </c>
      <c r="B38" s="16">
        <v>1</v>
      </c>
      <c r="C38" s="7" t="s">
        <v>32</v>
      </c>
      <c r="D38" s="7" t="s">
        <v>33</v>
      </c>
      <c r="E38" s="7"/>
      <c r="F38" s="20">
        <v>2937</v>
      </c>
      <c r="G38" s="8">
        <f t="shared" si="0"/>
        <v>2259.2307692307695</v>
      </c>
      <c r="H38" s="8">
        <f>SUM(G38:G38)*19%</f>
        <v>429.25384615384621</v>
      </c>
      <c r="I38" s="9">
        <f t="shared" si="7"/>
        <v>2688.4846153846156</v>
      </c>
      <c r="J38" s="2">
        <v>80</v>
      </c>
      <c r="K38" s="10">
        <f t="shared" si="1"/>
        <v>2150.7876923076924</v>
      </c>
      <c r="L38" s="17"/>
      <c r="M38" s="10"/>
      <c r="N38" s="10"/>
      <c r="O38" s="10">
        <f>SUM(G38:G38)</f>
        <v>2259.2307692307695</v>
      </c>
      <c r="P38" s="10"/>
      <c r="Q38" s="10"/>
      <c r="R38" s="10"/>
      <c r="S38" s="10"/>
      <c r="T38" s="10"/>
      <c r="U38" s="10">
        <f t="shared" si="28"/>
        <v>522.78600000000006</v>
      </c>
      <c r="V38" s="10">
        <f>O38+U38</f>
        <v>2782.0167692307696</v>
      </c>
      <c r="W38" s="10">
        <f t="shared" si="27"/>
        <v>2150.7876923076924</v>
      </c>
      <c r="X38" s="10">
        <f t="shared" si="29"/>
        <v>93.53215384615396</v>
      </c>
      <c r="Y38" s="10">
        <f t="shared" si="30"/>
        <v>537.69692307692321</v>
      </c>
      <c r="Z38" s="10">
        <f t="shared" si="31"/>
        <v>155</v>
      </c>
    </row>
    <row r="39" spans="1:26">
      <c r="A39" s="18">
        <v>46873</v>
      </c>
      <c r="B39" s="16">
        <v>1</v>
      </c>
      <c r="C39" s="7" t="s">
        <v>32</v>
      </c>
      <c r="D39" s="7" t="s">
        <v>33</v>
      </c>
      <c r="E39" s="7"/>
      <c r="F39" s="20">
        <v>2937</v>
      </c>
      <c r="G39" s="8">
        <f t="shared" si="0"/>
        <v>2259.2307692307695</v>
      </c>
      <c r="H39" s="8">
        <f>SUM(G39:G39)*19%</f>
        <v>429.25384615384621</v>
      </c>
      <c r="I39" s="9">
        <f t="shared" si="7"/>
        <v>2688.4846153846156</v>
      </c>
      <c r="J39" s="2">
        <v>80</v>
      </c>
      <c r="K39" s="10">
        <f t="shared" si="1"/>
        <v>2150.7876923076924</v>
      </c>
      <c r="L39" s="17"/>
      <c r="M39" s="10"/>
      <c r="N39" s="10"/>
      <c r="O39" s="10">
        <f>SUM(G39:G39)</f>
        <v>2259.2307692307695</v>
      </c>
      <c r="P39" s="10"/>
      <c r="Q39" s="10"/>
      <c r="R39" s="10"/>
      <c r="S39" s="10"/>
      <c r="T39" s="10"/>
      <c r="U39" s="10">
        <f t="shared" si="28"/>
        <v>522.78600000000006</v>
      </c>
      <c r="V39" s="10">
        <f>O39+U39</f>
        <v>2782.0167692307696</v>
      </c>
      <c r="W39" s="10">
        <f t="shared" si="27"/>
        <v>2150.7876923076924</v>
      </c>
      <c r="X39" s="10">
        <f t="shared" si="29"/>
        <v>93.53215384615396</v>
      </c>
      <c r="Y39" s="10">
        <f t="shared" si="30"/>
        <v>537.69692307692321</v>
      </c>
      <c r="Z39" s="10">
        <f t="shared" si="31"/>
        <v>155</v>
      </c>
    </row>
    <row r="40" spans="1:26">
      <c r="A40" s="18">
        <v>46904</v>
      </c>
      <c r="B40" s="16">
        <v>1</v>
      </c>
      <c r="C40" s="7" t="s">
        <v>32</v>
      </c>
      <c r="D40" s="7" t="s">
        <v>33</v>
      </c>
      <c r="E40" s="7"/>
      <c r="F40" s="20">
        <v>2937</v>
      </c>
      <c r="G40" s="8">
        <f t="shared" si="0"/>
        <v>2259.2307692307695</v>
      </c>
      <c r="H40" s="8">
        <f>SUM(G40:G40)*19%</f>
        <v>429.25384615384621</v>
      </c>
      <c r="I40" s="9">
        <f t="shared" si="7"/>
        <v>2688.4846153846156</v>
      </c>
      <c r="J40" s="2">
        <v>80</v>
      </c>
      <c r="K40" s="10">
        <f t="shared" si="1"/>
        <v>2150.7876923076924</v>
      </c>
      <c r="L40" s="17"/>
      <c r="M40" s="10"/>
      <c r="N40" s="10"/>
      <c r="O40" s="10">
        <f>SUM(G40:G40)</f>
        <v>2259.2307692307695</v>
      </c>
      <c r="P40" s="10"/>
      <c r="Q40" s="10"/>
      <c r="R40" s="10"/>
      <c r="S40" s="10"/>
      <c r="T40" s="10"/>
      <c r="U40" s="10">
        <f t="shared" si="28"/>
        <v>522.78600000000006</v>
      </c>
      <c r="V40" s="10">
        <f>O40+U40</f>
        <v>2782.0167692307696</v>
      </c>
      <c r="W40" s="10">
        <f t="shared" si="27"/>
        <v>2150.7876923076924</v>
      </c>
      <c r="X40" s="10">
        <f t="shared" si="29"/>
        <v>93.53215384615396</v>
      </c>
      <c r="Y40" s="10">
        <f t="shared" si="30"/>
        <v>537.69692307692321</v>
      </c>
      <c r="Z40" s="10">
        <f t="shared" si="31"/>
        <v>155</v>
      </c>
    </row>
    <row r="41" spans="1:26">
      <c r="A41" s="18">
        <v>46934</v>
      </c>
      <c r="B41" s="16">
        <v>1</v>
      </c>
      <c r="C41" s="7" t="s">
        <v>32</v>
      </c>
      <c r="D41" s="7" t="s">
        <v>33</v>
      </c>
      <c r="E41" s="7"/>
      <c r="F41" s="20">
        <v>2937</v>
      </c>
      <c r="G41" s="8">
        <f t="shared" si="0"/>
        <v>2259.2307692307695</v>
      </c>
      <c r="H41" s="8">
        <f>SUM(G41:G41)*19%</f>
        <v>429.25384615384621</v>
      </c>
      <c r="I41" s="9">
        <f t="shared" si="7"/>
        <v>2688.4846153846156</v>
      </c>
      <c r="J41" s="2">
        <v>80</v>
      </c>
      <c r="K41" s="10">
        <f t="shared" si="1"/>
        <v>2150.7876923076924</v>
      </c>
      <c r="L41" s="17"/>
      <c r="M41" s="10"/>
      <c r="N41" s="10"/>
      <c r="O41" s="10">
        <f>SUM(G41:G41)</f>
        <v>2259.2307692307695</v>
      </c>
      <c r="P41" s="10"/>
      <c r="Q41" s="10"/>
      <c r="R41" s="10"/>
      <c r="S41" s="10"/>
      <c r="T41" s="10"/>
      <c r="U41" s="10">
        <f t="shared" si="28"/>
        <v>522.78600000000006</v>
      </c>
      <c r="V41" s="10">
        <f>O41+U41</f>
        <v>2782.0167692307696</v>
      </c>
      <c r="W41" s="10">
        <f t="shared" si="27"/>
        <v>2150.7876923076924</v>
      </c>
      <c r="X41" s="10">
        <f t="shared" si="29"/>
        <v>93.53215384615396</v>
      </c>
      <c r="Y41" s="10">
        <f t="shared" si="30"/>
        <v>537.69692307692321</v>
      </c>
      <c r="Z41" s="10">
        <f t="shared" si="31"/>
        <v>155</v>
      </c>
    </row>
    <row r="42" spans="1:26">
      <c r="A42" s="47">
        <v>46965</v>
      </c>
      <c r="B42" s="16">
        <v>1</v>
      </c>
      <c r="C42" s="7" t="s">
        <v>32</v>
      </c>
      <c r="D42" s="7" t="s">
        <v>33</v>
      </c>
      <c r="E42" s="7"/>
      <c r="F42" s="20">
        <f>$F$41*1.01</f>
        <v>2966.37</v>
      </c>
      <c r="G42" s="8">
        <f t="shared" si="0"/>
        <v>2281.8230769230768</v>
      </c>
      <c r="H42" s="8">
        <f>SUM(G42:G42)*19%</f>
        <v>433.54638461538457</v>
      </c>
      <c r="I42" s="9">
        <f t="shared" si="7"/>
        <v>2715.3694615384611</v>
      </c>
      <c r="J42" s="2">
        <v>80</v>
      </c>
      <c r="K42" s="10">
        <f t="shared" si="1"/>
        <v>2172.2955692307692</v>
      </c>
      <c r="L42" s="17"/>
      <c r="M42" s="52">
        <f>(F42-F41)*($J$2/39)*B42</f>
        <v>22.59230769230761</v>
      </c>
      <c r="N42" s="10"/>
      <c r="O42" s="10">
        <f>SUM(G42:G42)</f>
        <v>2281.8230769230768</v>
      </c>
      <c r="P42" s="10"/>
      <c r="Q42" s="10"/>
      <c r="R42" s="10"/>
      <c r="S42" s="10"/>
      <c r="T42" s="10"/>
      <c r="U42" s="10">
        <f t="shared" si="28"/>
        <v>528.01385999999991</v>
      </c>
      <c r="V42" s="10">
        <f>O42+U42</f>
        <v>2809.8369369230768</v>
      </c>
      <c r="W42" s="10">
        <f t="shared" si="27"/>
        <v>2172.2955692307692</v>
      </c>
      <c r="X42" s="10">
        <f t="shared" si="29"/>
        <v>94.467475384615682</v>
      </c>
      <c r="Y42" s="10">
        <f t="shared" si="30"/>
        <v>543.07389230769195</v>
      </c>
      <c r="Z42" s="10">
        <f t="shared" si="31"/>
        <v>155</v>
      </c>
    </row>
    <row r="43" spans="1:26">
      <c r="A43" s="18">
        <v>46996</v>
      </c>
      <c r="B43" s="16">
        <v>1</v>
      </c>
      <c r="C43" s="7" t="s">
        <v>32</v>
      </c>
      <c r="D43" s="7" t="s">
        <v>33</v>
      </c>
      <c r="E43" s="7"/>
      <c r="F43" s="20">
        <f t="shared" ref="F43:F59" si="40">$F$41*1.01</f>
        <v>2966.37</v>
      </c>
      <c r="G43" s="8">
        <f t="shared" si="0"/>
        <v>2281.8230769230768</v>
      </c>
      <c r="H43" s="8">
        <f>SUM(G43:G43)*19%</f>
        <v>433.54638461538457</v>
      </c>
      <c r="I43" s="9">
        <f t="shared" si="7"/>
        <v>2715.3694615384611</v>
      </c>
      <c r="J43" s="2">
        <v>80</v>
      </c>
      <c r="K43" s="10">
        <f t="shared" si="1"/>
        <v>2172.2955692307692</v>
      </c>
      <c r="L43" s="17"/>
      <c r="M43" s="10"/>
      <c r="N43" s="10"/>
      <c r="O43" s="10">
        <f>SUM(G43:G43)</f>
        <v>2281.8230769230768</v>
      </c>
      <c r="P43" s="10"/>
      <c r="Q43" s="10"/>
      <c r="R43" s="10"/>
      <c r="S43" s="10"/>
      <c r="T43" s="10"/>
      <c r="U43" s="10">
        <f t="shared" si="28"/>
        <v>528.01385999999991</v>
      </c>
      <c r="V43" s="10">
        <f>O43+U43</f>
        <v>2809.8369369230768</v>
      </c>
      <c r="W43" s="10">
        <f t="shared" si="27"/>
        <v>2172.2955692307692</v>
      </c>
      <c r="X43" s="10">
        <f t="shared" si="29"/>
        <v>94.467475384615682</v>
      </c>
      <c r="Y43" s="10">
        <f t="shared" si="30"/>
        <v>543.07389230769195</v>
      </c>
      <c r="Z43" s="10">
        <f t="shared" si="31"/>
        <v>155</v>
      </c>
    </row>
    <row r="44" spans="1:26">
      <c r="A44" s="18">
        <v>47026</v>
      </c>
      <c r="B44" s="16">
        <v>1</v>
      </c>
      <c r="C44" s="7" t="s">
        <v>32</v>
      </c>
      <c r="D44" s="7" t="s">
        <v>33</v>
      </c>
      <c r="E44" s="7"/>
      <c r="F44" s="20">
        <f t="shared" si="40"/>
        <v>2966.37</v>
      </c>
      <c r="G44" s="8">
        <f>F44*($J$2/39)*B44</f>
        <v>2281.8230769230768</v>
      </c>
      <c r="H44" s="8">
        <f>SUM(G44:G44)*19%</f>
        <v>433.54638461538457</v>
      </c>
      <c r="I44" s="9">
        <f t="shared" si="7"/>
        <v>2715.3694615384611</v>
      </c>
      <c r="J44" s="2">
        <v>80</v>
      </c>
      <c r="K44" s="10">
        <f t="shared" si="1"/>
        <v>2172.2955692307692</v>
      </c>
      <c r="L44" s="17"/>
      <c r="M44" s="10"/>
      <c r="N44" s="10"/>
      <c r="O44" s="10">
        <f>SUM(G44:G44)</f>
        <v>2281.8230769230768</v>
      </c>
      <c r="P44" s="10"/>
      <c r="Q44" s="10"/>
      <c r="R44" s="10"/>
      <c r="S44" s="10"/>
      <c r="T44" s="10"/>
      <c r="U44" s="10">
        <f t="shared" si="28"/>
        <v>528.01385999999991</v>
      </c>
      <c r="V44" s="10">
        <f>O44+U44</f>
        <v>2809.8369369230768</v>
      </c>
      <c r="W44" s="10">
        <f t="shared" si="27"/>
        <v>2172.2955692307692</v>
      </c>
      <c r="X44" s="10">
        <f t="shared" si="29"/>
        <v>94.467475384615682</v>
      </c>
      <c r="Y44" s="10">
        <f t="shared" si="30"/>
        <v>543.07389230769195</v>
      </c>
      <c r="Z44" s="10">
        <f t="shared" si="31"/>
        <v>155</v>
      </c>
    </row>
    <row r="45" spans="1:26">
      <c r="A45" s="18">
        <v>47057</v>
      </c>
      <c r="B45" s="16">
        <v>1</v>
      </c>
      <c r="C45" s="7" t="s">
        <v>32</v>
      </c>
      <c r="D45" s="7" t="s">
        <v>33</v>
      </c>
      <c r="E45" s="7"/>
      <c r="F45" s="20">
        <f t="shared" si="40"/>
        <v>2966.37</v>
      </c>
      <c r="G45" s="8">
        <f t="shared" ref="G45:G47" si="41">F45*($J$2/39)*B45</f>
        <v>2281.8230769230768</v>
      </c>
      <c r="H45" s="8">
        <f>SUM(G45:G45)*19%</f>
        <v>433.54638461538457</v>
      </c>
      <c r="I45" s="9">
        <f t="shared" si="7"/>
        <v>2715.3694615384611</v>
      </c>
      <c r="J45" s="2">
        <v>80</v>
      </c>
      <c r="K45" s="10">
        <f t="shared" si="1"/>
        <v>2172.2955692307692</v>
      </c>
      <c r="L45" s="17"/>
      <c r="M45" s="10"/>
      <c r="N45" s="10"/>
      <c r="O45" s="10">
        <f>SUM(G45:G45)</f>
        <v>2281.8230769230768</v>
      </c>
      <c r="P45" s="10"/>
      <c r="Q45" s="10"/>
      <c r="R45" s="10"/>
      <c r="S45" s="10"/>
      <c r="T45" s="10"/>
      <c r="U45" s="10">
        <f t="shared" si="28"/>
        <v>528.01385999999991</v>
      </c>
      <c r="V45" s="10">
        <f t="shared" ref="V45:V47" si="42">O45+U45</f>
        <v>2809.8369369230768</v>
      </c>
      <c r="W45" s="10">
        <f t="shared" si="27"/>
        <v>2172.2955692307692</v>
      </c>
      <c r="X45" s="10">
        <f t="shared" si="29"/>
        <v>94.467475384615682</v>
      </c>
      <c r="Y45" s="10">
        <f t="shared" si="30"/>
        <v>543.07389230769195</v>
      </c>
      <c r="Z45" s="10">
        <f t="shared" si="31"/>
        <v>155</v>
      </c>
    </row>
    <row r="46" spans="1:26">
      <c r="A46" s="18">
        <v>47087</v>
      </c>
      <c r="B46" s="16">
        <v>1</v>
      </c>
      <c r="C46" s="7" t="s">
        <v>32</v>
      </c>
      <c r="D46" s="7" t="s">
        <v>33</v>
      </c>
      <c r="E46" s="7"/>
      <c r="F46" s="20">
        <f t="shared" si="40"/>
        <v>2966.37</v>
      </c>
      <c r="G46" s="8">
        <f t="shared" si="41"/>
        <v>2281.8230769230768</v>
      </c>
      <c r="H46" s="8">
        <f>SUM(G46:G46)*19%</f>
        <v>433.54638461538457</v>
      </c>
      <c r="I46" s="9">
        <f t="shared" si="7"/>
        <v>2715.3694615384611</v>
      </c>
      <c r="J46" s="2">
        <v>80</v>
      </c>
      <c r="K46" s="10">
        <f t="shared" si="1"/>
        <v>2172.2955692307692</v>
      </c>
      <c r="L46" s="17"/>
      <c r="M46" s="10"/>
      <c r="N46" s="10"/>
      <c r="O46" s="10">
        <f>SUM(G46:G46)</f>
        <v>2281.8230769230768</v>
      </c>
      <c r="P46" s="10"/>
      <c r="Q46" s="10"/>
      <c r="R46" s="10"/>
      <c r="S46" s="10"/>
      <c r="T46" s="10"/>
      <c r="U46" s="10">
        <f t="shared" si="28"/>
        <v>528.01385999999991</v>
      </c>
      <c r="V46" s="10">
        <f t="shared" si="42"/>
        <v>2809.8369369230768</v>
      </c>
      <c r="W46" s="10">
        <f t="shared" si="27"/>
        <v>2172.2955692307692</v>
      </c>
      <c r="X46" s="10">
        <f t="shared" si="29"/>
        <v>94.467475384615682</v>
      </c>
      <c r="Y46" s="10">
        <f t="shared" si="30"/>
        <v>543.07389230769195</v>
      </c>
      <c r="Z46" s="10">
        <f t="shared" si="31"/>
        <v>155</v>
      </c>
    </row>
    <row r="47" spans="1:26">
      <c r="A47" s="18">
        <v>47118</v>
      </c>
      <c r="B47" s="16">
        <v>1</v>
      </c>
      <c r="C47" s="7" t="s">
        <v>32</v>
      </c>
      <c r="D47" s="7" t="s">
        <v>33</v>
      </c>
      <c r="E47" s="7"/>
      <c r="F47" s="20">
        <f t="shared" si="40"/>
        <v>2966.37</v>
      </c>
      <c r="G47" s="8">
        <f t="shared" si="41"/>
        <v>2281.8230769230768</v>
      </c>
      <c r="H47" s="8">
        <f>SUM(G47:G47)*19%</f>
        <v>433.54638461538457</v>
      </c>
      <c r="I47" s="9">
        <f t="shared" si="7"/>
        <v>2715.3694615384611</v>
      </c>
      <c r="J47" s="2">
        <v>80</v>
      </c>
      <c r="K47" s="10">
        <f t="shared" si="1"/>
        <v>2172.2955692307692</v>
      </c>
      <c r="L47" s="17"/>
      <c r="M47" s="10"/>
      <c r="N47" s="10"/>
      <c r="O47" s="10">
        <f>SUM(G47:G47)</f>
        <v>2281.8230769230768</v>
      </c>
      <c r="P47" s="10"/>
      <c r="Q47" s="10"/>
      <c r="R47" s="10"/>
      <c r="S47" s="10"/>
      <c r="T47" s="10"/>
      <c r="U47" s="10">
        <f t="shared" si="28"/>
        <v>528.01385999999991</v>
      </c>
      <c r="V47" s="10">
        <f t="shared" si="42"/>
        <v>2809.8369369230768</v>
      </c>
      <c r="W47" s="10">
        <f t="shared" si="27"/>
        <v>2172.2955692307692</v>
      </c>
      <c r="X47" s="10">
        <f t="shared" si="29"/>
        <v>94.467475384615682</v>
      </c>
      <c r="Y47" s="10">
        <f t="shared" si="30"/>
        <v>543.07389230769195</v>
      </c>
      <c r="Z47" s="10">
        <f t="shared" si="31"/>
        <v>155</v>
      </c>
    </row>
    <row r="48" spans="1:26">
      <c r="A48" s="18"/>
      <c r="B48" s="7"/>
      <c r="C48" s="7"/>
      <c r="D48" s="7"/>
      <c r="E48" s="7"/>
      <c r="F48" s="20"/>
      <c r="G48" s="8"/>
      <c r="H48" s="8"/>
      <c r="I48" s="9"/>
      <c r="J48" s="2"/>
      <c r="K48" s="10"/>
      <c r="L48" s="17">
        <f>SUM(B35:B47)</f>
        <v>12</v>
      </c>
      <c r="M48" s="10"/>
      <c r="N48" s="10"/>
      <c r="O48" s="42" t="s">
        <v>34</v>
      </c>
      <c r="P48" s="42"/>
      <c r="Q48" s="42"/>
      <c r="R48" s="42"/>
      <c r="S48" s="42"/>
      <c r="T48" s="42"/>
      <c r="U48" s="42"/>
      <c r="V48" s="42"/>
      <c r="W48" s="42"/>
      <c r="X48" s="42">
        <f>IF(V47&gt;0,O44*85%*(L48/12),0)</f>
        <v>1939.5496153846152</v>
      </c>
      <c r="Y48" s="43"/>
      <c r="Z48" s="42"/>
    </row>
    <row r="49" spans="1:26">
      <c r="A49" s="18"/>
      <c r="B49" s="7"/>
      <c r="C49" s="7"/>
      <c r="D49" s="7"/>
      <c r="E49" s="7"/>
      <c r="F49" s="20"/>
      <c r="G49" s="8"/>
      <c r="H49" s="8"/>
      <c r="I49" s="9"/>
      <c r="J49" s="2"/>
      <c r="K49" s="10"/>
      <c r="M49" s="10"/>
      <c r="N49" s="10"/>
      <c r="O49" s="42" t="s">
        <v>35</v>
      </c>
      <c r="P49" s="42"/>
      <c r="Q49" s="42"/>
      <c r="R49" s="42"/>
      <c r="S49" s="42"/>
      <c r="T49" s="42"/>
      <c r="U49" s="42"/>
      <c r="V49" s="43"/>
      <c r="W49" s="42"/>
      <c r="X49" s="42">
        <f>IF(V47&gt;0,U44*85%*(L48/12),0)</f>
        <v>448.81178099999988</v>
      </c>
      <c r="Y49" s="43"/>
      <c r="Z49" s="42"/>
    </row>
    <row r="50" spans="1:26">
      <c r="A50" s="7"/>
      <c r="B50" s="7"/>
      <c r="C50" s="7"/>
      <c r="D50" s="7"/>
      <c r="E50" s="7"/>
      <c r="F50" s="20"/>
      <c r="G50" s="13"/>
      <c r="H50" s="13"/>
      <c r="I50" s="14"/>
      <c r="J50" s="2"/>
      <c r="K50" s="10"/>
      <c r="L50" s="17"/>
      <c r="M50" s="10"/>
      <c r="N50" s="10"/>
      <c r="O50" s="11">
        <f>SUM(O35:O49)</f>
        <v>27246.323076923072</v>
      </c>
      <c r="P50" s="11">
        <f t="shared" ref="P50:U50" si="43">SUM(P35:P49)</f>
        <v>0</v>
      </c>
      <c r="Q50" s="11">
        <f t="shared" si="43"/>
        <v>0</v>
      </c>
      <c r="R50" s="11">
        <f t="shared" si="43"/>
        <v>0</v>
      </c>
      <c r="S50" s="11">
        <f t="shared" si="43"/>
        <v>0</v>
      </c>
      <c r="T50" s="11">
        <f t="shared" si="43"/>
        <v>0</v>
      </c>
      <c r="U50" s="11">
        <f t="shared" si="43"/>
        <v>6304.7991600000005</v>
      </c>
      <c r="V50" s="11">
        <f>SUM(V35:V47)</f>
        <v>33551.122236923089</v>
      </c>
      <c r="W50" s="11">
        <f t="shared" ref="W50" si="44">SUM(W35:W49)</f>
        <v>26341.772261538466</v>
      </c>
      <c r="X50" s="11">
        <f>SUM(X35:X49)</f>
        <v>3516.3591717692329</v>
      </c>
      <c r="Y50" s="11">
        <f>SUM(Y35:Y49)</f>
        <v>6081.3521999999975</v>
      </c>
      <c r="Z50" s="11">
        <f t="shared" ref="Z50" si="45">SUM(Z35:Z49)</f>
        <v>1860</v>
      </c>
    </row>
    <row r="51" spans="1:26">
      <c r="A51" s="18">
        <v>47149</v>
      </c>
      <c r="B51" s="16">
        <v>1</v>
      </c>
      <c r="C51" s="7" t="s">
        <v>32</v>
      </c>
      <c r="D51" s="7" t="s">
        <v>33</v>
      </c>
      <c r="E51" s="7"/>
      <c r="F51" s="20">
        <f t="shared" si="40"/>
        <v>2966.37</v>
      </c>
      <c r="G51" s="8">
        <f t="shared" ref="G51:G59" si="46">F51*($J$2/39)*B51</f>
        <v>2281.8230769230768</v>
      </c>
      <c r="H51" s="8">
        <f>SUM(G51:G51)*19%</f>
        <v>433.54638461538457</v>
      </c>
      <c r="I51" s="9">
        <f t="shared" ref="I51:I63" si="47">SUM(G51:H51)</f>
        <v>2715.3694615384611</v>
      </c>
      <c r="J51" s="2">
        <v>80</v>
      </c>
      <c r="K51" s="10">
        <f t="shared" ref="K51:K63" si="48">I51*J51%</f>
        <v>2172.2955692307692</v>
      </c>
      <c r="L51" s="17"/>
      <c r="M51" s="10"/>
      <c r="N51" s="10"/>
      <c r="O51" s="10">
        <f>SUM(G51:G51)</f>
        <v>2281.8230769230768</v>
      </c>
      <c r="P51" s="10"/>
      <c r="Q51" s="10"/>
      <c r="R51" s="10"/>
      <c r="S51" s="10"/>
      <c r="T51" s="10"/>
      <c r="U51" s="10">
        <f>O51*$Y$2</f>
        <v>528.01385999999991</v>
      </c>
      <c r="V51" s="10">
        <f>O51+U51</f>
        <v>2809.8369369230768</v>
      </c>
      <c r="W51" s="10">
        <f t="shared" ref="W51:W63" si="49">K51</f>
        <v>2172.2955692307692</v>
      </c>
      <c r="X51" s="10">
        <f>V51-I51</f>
        <v>94.467475384615682</v>
      </c>
      <c r="Y51" s="10">
        <f>V51-W51-X51</f>
        <v>543.07389230769195</v>
      </c>
      <c r="Z51" s="10">
        <f>$M$2*B51</f>
        <v>155</v>
      </c>
    </row>
    <row r="52" spans="1:26">
      <c r="A52" s="18">
        <v>47149</v>
      </c>
      <c r="B52" s="16">
        <v>0.5</v>
      </c>
      <c r="C52" s="7" t="s">
        <v>32</v>
      </c>
      <c r="D52" s="7" t="s">
        <v>33</v>
      </c>
      <c r="E52" s="7"/>
      <c r="F52" s="20">
        <f t="shared" si="40"/>
        <v>2966.37</v>
      </c>
      <c r="G52" s="8">
        <f t="shared" ref="G52:G53" si="50">F52*($J$2/39)*B52</f>
        <v>1140.9115384615384</v>
      </c>
      <c r="H52" s="8">
        <f>SUM(G52:G52)*19%</f>
        <v>216.77319230769228</v>
      </c>
      <c r="I52" s="9">
        <f t="shared" ref="I52:I53" si="51">SUM(G52:H52)</f>
        <v>1357.6847307692306</v>
      </c>
      <c r="J52" s="53">
        <v>80</v>
      </c>
      <c r="K52" s="10">
        <f t="shared" ref="K52:K53" si="52">I52*J52%</f>
        <v>1086.1477846153846</v>
      </c>
      <c r="L52" s="17"/>
      <c r="M52" s="10"/>
      <c r="N52" s="10"/>
      <c r="O52" s="10">
        <f>SUM(G52:G52)</f>
        <v>1140.9115384615384</v>
      </c>
      <c r="P52" s="10"/>
      <c r="Q52" s="10"/>
      <c r="R52" s="10"/>
      <c r="S52" s="10"/>
      <c r="T52" s="10"/>
      <c r="U52" s="10">
        <f t="shared" ref="U52:U53" si="53">O52*$Y$2</f>
        <v>264.00692999999995</v>
      </c>
      <c r="V52" s="10">
        <f>O52+U52</f>
        <v>1404.9184684615384</v>
      </c>
      <c r="W52" s="10">
        <f t="shared" ref="W52:W53" si="54">K52</f>
        <v>1086.1477846153846</v>
      </c>
      <c r="X52" s="10">
        <f t="shared" ref="X52:X53" si="55">V52-I52</f>
        <v>47.233737692307841</v>
      </c>
      <c r="Y52" s="10">
        <f t="shared" ref="Y52:Y53" si="56">V52-W52-X52</f>
        <v>271.53694615384597</v>
      </c>
      <c r="Z52" s="10">
        <f t="shared" ref="Z52:Z53" si="57">$M$2*B52</f>
        <v>77.5</v>
      </c>
    </row>
    <row r="53" spans="1:26">
      <c r="A53" s="18">
        <v>47177</v>
      </c>
      <c r="B53" s="16">
        <v>0.5</v>
      </c>
      <c r="C53" s="7" t="s">
        <v>32</v>
      </c>
      <c r="D53" s="7" t="s">
        <v>33</v>
      </c>
      <c r="E53" s="7"/>
      <c r="F53" s="20">
        <f t="shared" si="40"/>
        <v>2966.37</v>
      </c>
      <c r="G53" s="8">
        <f t="shared" si="50"/>
        <v>1140.9115384615384</v>
      </c>
      <c r="H53" s="8">
        <f>SUM(G53:G53)*19%</f>
        <v>216.77319230769228</v>
      </c>
      <c r="I53" s="9">
        <f t="shared" si="51"/>
        <v>1357.6847307692306</v>
      </c>
      <c r="J53" s="53">
        <v>70</v>
      </c>
      <c r="K53" s="10">
        <f t="shared" si="52"/>
        <v>950.37931153846137</v>
      </c>
      <c r="L53" s="17"/>
      <c r="M53" s="10"/>
      <c r="N53" s="10"/>
      <c r="O53" s="10">
        <f>SUM(G53:G53)</f>
        <v>1140.9115384615384</v>
      </c>
      <c r="P53" s="10"/>
      <c r="Q53" s="10"/>
      <c r="R53" s="10"/>
      <c r="S53" s="10"/>
      <c r="T53" s="10"/>
      <c r="U53" s="10">
        <f t="shared" si="53"/>
        <v>264.00692999999995</v>
      </c>
      <c r="V53" s="10">
        <f>O53+U53</f>
        <v>1404.9184684615384</v>
      </c>
      <c r="W53" s="10">
        <f t="shared" si="54"/>
        <v>950.37931153846137</v>
      </c>
      <c r="X53" s="10">
        <f t="shared" si="55"/>
        <v>47.233737692307841</v>
      </c>
      <c r="Y53" s="10">
        <f t="shared" si="56"/>
        <v>407.30541923076919</v>
      </c>
      <c r="Z53" s="10">
        <f t="shared" si="57"/>
        <v>77.5</v>
      </c>
    </row>
    <row r="54" spans="1:26">
      <c r="A54" s="18">
        <v>47208</v>
      </c>
      <c r="B54" s="16">
        <v>1</v>
      </c>
      <c r="C54" s="7" t="s">
        <v>32</v>
      </c>
      <c r="D54" s="7" t="s">
        <v>33</v>
      </c>
      <c r="E54" s="7"/>
      <c r="F54" s="20">
        <f t="shared" si="40"/>
        <v>2966.37</v>
      </c>
      <c r="G54" s="8">
        <f t="shared" si="46"/>
        <v>2281.8230769230768</v>
      </c>
      <c r="H54" s="8">
        <f>SUM(G54:G54)*19%</f>
        <v>433.54638461538457</v>
      </c>
      <c r="I54" s="9">
        <f t="shared" si="47"/>
        <v>2715.3694615384611</v>
      </c>
      <c r="J54" s="2">
        <v>70</v>
      </c>
      <c r="K54" s="10">
        <f t="shared" si="48"/>
        <v>1900.7586230769227</v>
      </c>
      <c r="L54" s="17"/>
      <c r="M54" s="10"/>
      <c r="N54" s="10"/>
      <c r="O54" s="10">
        <f>SUM(G54:G54)</f>
        <v>2281.8230769230768</v>
      </c>
      <c r="P54" s="10"/>
      <c r="Q54" s="10"/>
      <c r="R54" s="10"/>
      <c r="S54" s="10"/>
      <c r="T54" s="10"/>
      <c r="U54" s="10">
        <f t="shared" ref="U52:U63" si="58">O54*$Y$2</f>
        <v>528.01385999999991</v>
      </c>
      <c r="V54" s="10">
        <f>O54+U54</f>
        <v>2809.8369369230768</v>
      </c>
      <c r="W54" s="10">
        <f t="shared" si="49"/>
        <v>1900.7586230769227</v>
      </c>
      <c r="X54" s="10">
        <f t="shared" ref="X52:X63" si="59">V54-I54</f>
        <v>94.467475384615682</v>
      </c>
      <c r="Y54" s="10">
        <f t="shared" ref="Y52:Y63" si="60">V54-W54-X54</f>
        <v>814.61083846153838</v>
      </c>
      <c r="Z54" s="10">
        <f t="shared" ref="Z52:Z63" si="61">$M$2*B54</f>
        <v>155</v>
      </c>
    </row>
    <row r="55" spans="1:26">
      <c r="A55" s="18">
        <v>47238</v>
      </c>
      <c r="B55" s="16">
        <v>1</v>
      </c>
      <c r="C55" s="7" t="s">
        <v>32</v>
      </c>
      <c r="D55" s="7" t="s">
        <v>33</v>
      </c>
      <c r="E55" s="7"/>
      <c r="F55" s="20">
        <f t="shared" si="40"/>
        <v>2966.37</v>
      </c>
      <c r="G55" s="8">
        <f t="shared" si="46"/>
        <v>2281.8230769230768</v>
      </c>
      <c r="H55" s="8">
        <f>SUM(G55:G55)*19%</f>
        <v>433.54638461538457</v>
      </c>
      <c r="I55" s="9">
        <f t="shared" si="47"/>
        <v>2715.3694615384611</v>
      </c>
      <c r="J55" s="2">
        <v>70</v>
      </c>
      <c r="K55" s="10">
        <f t="shared" si="48"/>
        <v>1900.7586230769227</v>
      </c>
      <c r="L55" s="17"/>
      <c r="M55" s="10"/>
      <c r="N55" s="10"/>
      <c r="O55" s="10">
        <f>SUM(G55:G55)</f>
        <v>2281.8230769230768</v>
      </c>
      <c r="P55" s="10"/>
      <c r="Q55" s="10"/>
      <c r="R55" s="10"/>
      <c r="S55" s="10"/>
      <c r="T55" s="10"/>
      <c r="U55" s="10">
        <f t="shared" si="58"/>
        <v>528.01385999999991</v>
      </c>
      <c r="V55" s="10">
        <f>O55+U55</f>
        <v>2809.8369369230768</v>
      </c>
      <c r="W55" s="10">
        <f t="shared" si="49"/>
        <v>1900.7586230769227</v>
      </c>
      <c r="X55" s="10">
        <f t="shared" si="59"/>
        <v>94.467475384615682</v>
      </c>
      <c r="Y55" s="10">
        <f t="shared" si="60"/>
        <v>814.61083846153838</v>
      </c>
      <c r="Z55" s="10">
        <f t="shared" si="61"/>
        <v>155</v>
      </c>
    </row>
    <row r="56" spans="1:26">
      <c r="A56" s="18">
        <v>47269</v>
      </c>
      <c r="B56" s="16">
        <v>1</v>
      </c>
      <c r="C56" s="7" t="s">
        <v>32</v>
      </c>
      <c r="D56" s="7" t="s">
        <v>33</v>
      </c>
      <c r="E56" s="7"/>
      <c r="F56" s="20">
        <f t="shared" si="40"/>
        <v>2966.37</v>
      </c>
      <c r="G56" s="8">
        <f t="shared" si="46"/>
        <v>2281.8230769230768</v>
      </c>
      <c r="H56" s="8">
        <f>SUM(G56:G56)*19%</f>
        <v>433.54638461538457</v>
      </c>
      <c r="I56" s="9">
        <f t="shared" si="47"/>
        <v>2715.3694615384611</v>
      </c>
      <c r="J56" s="2">
        <v>70</v>
      </c>
      <c r="K56" s="10">
        <f t="shared" si="48"/>
        <v>1900.7586230769227</v>
      </c>
      <c r="L56" s="17"/>
      <c r="M56" s="10"/>
      <c r="N56" s="10"/>
      <c r="O56" s="10">
        <f>SUM(G56:G56)</f>
        <v>2281.8230769230768</v>
      </c>
      <c r="P56" s="10"/>
      <c r="Q56" s="10"/>
      <c r="R56" s="10"/>
      <c r="S56" s="10"/>
      <c r="T56" s="10"/>
      <c r="U56" s="10">
        <f t="shared" si="58"/>
        <v>528.01385999999991</v>
      </c>
      <c r="V56" s="10">
        <f>O56+U56</f>
        <v>2809.8369369230768</v>
      </c>
      <c r="W56" s="10">
        <f t="shared" si="49"/>
        <v>1900.7586230769227</v>
      </c>
      <c r="X56" s="10">
        <f t="shared" si="59"/>
        <v>94.467475384615682</v>
      </c>
      <c r="Y56" s="10">
        <f t="shared" si="60"/>
        <v>814.61083846153838</v>
      </c>
      <c r="Z56" s="10">
        <f t="shared" si="61"/>
        <v>155</v>
      </c>
    </row>
    <row r="57" spans="1:26">
      <c r="A57" s="18">
        <v>47299</v>
      </c>
      <c r="B57" s="16">
        <v>1</v>
      </c>
      <c r="C57" s="7" t="s">
        <v>32</v>
      </c>
      <c r="D57" s="7" t="s">
        <v>33</v>
      </c>
      <c r="E57" s="7"/>
      <c r="F57" s="20">
        <f t="shared" si="40"/>
        <v>2966.37</v>
      </c>
      <c r="G57" s="8">
        <f t="shared" si="46"/>
        <v>2281.8230769230768</v>
      </c>
      <c r="H57" s="8">
        <f>SUM(G57:G57)*19%</f>
        <v>433.54638461538457</v>
      </c>
      <c r="I57" s="9">
        <f t="shared" si="47"/>
        <v>2715.3694615384611</v>
      </c>
      <c r="J57" s="2">
        <v>70</v>
      </c>
      <c r="K57" s="10">
        <f t="shared" si="48"/>
        <v>1900.7586230769227</v>
      </c>
      <c r="L57" s="17"/>
      <c r="M57" s="10"/>
      <c r="N57" s="10"/>
      <c r="O57" s="10">
        <f>SUM(G57:G57)</f>
        <v>2281.8230769230768</v>
      </c>
      <c r="P57" s="10"/>
      <c r="Q57" s="10"/>
      <c r="R57" s="10"/>
      <c r="S57" s="10"/>
      <c r="T57" s="10"/>
      <c r="U57" s="10">
        <f t="shared" si="58"/>
        <v>528.01385999999991</v>
      </c>
      <c r="V57" s="10">
        <f>O57+U57</f>
        <v>2809.8369369230768</v>
      </c>
      <c r="W57" s="10">
        <f t="shared" si="49"/>
        <v>1900.7586230769227</v>
      </c>
      <c r="X57" s="10">
        <f t="shared" si="59"/>
        <v>94.467475384615682</v>
      </c>
      <c r="Y57" s="10">
        <f t="shared" si="60"/>
        <v>814.61083846153838</v>
      </c>
      <c r="Z57" s="10">
        <f t="shared" si="61"/>
        <v>155</v>
      </c>
    </row>
    <row r="58" spans="1:26">
      <c r="A58" s="18">
        <v>47330</v>
      </c>
      <c r="B58" s="16">
        <v>1</v>
      </c>
      <c r="C58" s="7" t="s">
        <v>32</v>
      </c>
      <c r="D58" s="7" t="s">
        <v>33</v>
      </c>
      <c r="E58" s="7"/>
      <c r="F58" s="20">
        <f t="shared" si="40"/>
        <v>2966.37</v>
      </c>
      <c r="G58" s="8">
        <f t="shared" si="46"/>
        <v>2281.8230769230768</v>
      </c>
      <c r="H58" s="8">
        <f>SUM(G58:G58)*19%</f>
        <v>433.54638461538457</v>
      </c>
      <c r="I58" s="9">
        <f t="shared" si="47"/>
        <v>2715.3694615384611</v>
      </c>
      <c r="J58" s="2">
        <v>70</v>
      </c>
      <c r="K58" s="10">
        <f t="shared" si="48"/>
        <v>1900.7586230769227</v>
      </c>
      <c r="L58" s="17"/>
      <c r="M58" s="10"/>
      <c r="N58" s="10"/>
      <c r="O58" s="10">
        <f>SUM(G58:G58)</f>
        <v>2281.8230769230768</v>
      </c>
      <c r="P58" s="10"/>
      <c r="Q58" s="10"/>
      <c r="R58" s="10"/>
      <c r="S58" s="10"/>
      <c r="T58" s="10"/>
      <c r="U58" s="10">
        <f t="shared" si="58"/>
        <v>528.01385999999991</v>
      </c>
      <c r="V58" s="10">
        <f>O58+U58</f>
        <v>2809.8369369230768</v>
      </c>
      <c r="W58" s="10">
        <f t="shared" si="49"/>
        <v>1900.7586230769227</v>
      </c>
      <c r="X58" s="10">
        <f t="shared" si="59"/>
        <v>94.467475384615682</v>
      </c>
      <c r="Y58" s="10">
        <f t="shared" si="60"/>
        <v>814.61083846153838</v>
      </c>
      <c r="Z58" s="10">
        <f t="shared" si="61"/>
        <v>155</v>
      </c>
    </row>
    <row r="59" spans="1:26">
      <c r="A59" s="55">
        <v>47361</v>
      </c>
      <c r="B59" s="16">
        <v>1</v>
      </c>
      <c r="C59" s="7" t="s">
        <v>32</v>
      </c>
      <c r="D59" s="7" t="s">
        <v>33</v>
      </c>
      <c r="E59" s="7"/>
      <c r="F59" s="20">
        <f t="shared" si="40"/>
        <v>2966.37</v>
      </c>
      <c r="G59" s="8">
        <f t="shared" si="46"/>
        <v>2281.8230769230768</v>
      </c>
      <c r="H59" s="8">
        <f>SUM(G59:G59)*19%</f>
        <v>433.54638461538457</v>
      </c>
      <c r="I59" s="9">
        <f t="shared" si="47"/>
        <v>2715.3694615384611</v>
      </c>
      <c r="J59" s="2">
        <v>70</v>
      </c>
      <c r="K59" s="10">
        <f t="shared" si="48"/>
        <v>1900.7586230769227</v>
      </c>
      <c r="L59" s="17"/>
      <c r="M59" s="10"/>
      <c r="N59" s="10"/>
      <c r="O59" s="10">
        <f>SUM(G59:G59)</f>
        <v>2281.8230769230768</v>
      </c>
      <c r="P59" s="10"/>
      <c r="Q59" s="10"/>
      <c r="R59" s="10"/>
      <c r="S59" s="10"/>
      <c r="T59" s="10"/>
      <c r="U59" s="10">
        <f t="shared" si="58"/>
        <v>528.01385999999991</v>
      </c>
      <c r="V59" s="10">
        <f>O59+U59</f>
        <v>2809.8369369230768</v>
      </c>
      <c r="W59" s="10">
        <f t="shared" si="49"/>
        <v>1900.7586230769227</v>
      </c>
      <c r="X59" s="10">
        <f t="shared" si="59"/>
        <v>94.467475384615682</v>
      </c>
      <c r="Y59" s="10">
        <f t="shared" si="60"/>
        <v>814.61083846153838</v>
      </c>
      <c r="Z59" s="10">
        <f t="shared" si="61"/>
        <v>155</v>
      </c>
    </row>
    <row r="60" spans="1:26">
      <c r="A60" s="48">
        <v>47391</v>
      </c>
      <c r="B60" s="16">
        <v>1</v>
      </c>
      <c r="C60" s="7" t="s">
        <v>32</v>
      </c>
      <c r="D60" s="7" t="s">
        <v>33</v>
      </c>
      <c r="E60" s="7"/>
      <c r="F60" s="20">
        <v>3031.22</v>
      </c>
      <c r="G60" s="8">
        <f>F60*($J$2/39)*B60</f>
        <v>2331.7076923076925</v>
      </c>
      <c r="H60" s="8">
        <f>SUM(G60:G60)*19%</f>
        <v>443.02446153846159</v>
      </c>
      <c r="I60" s="9">
        <f t="shared" si="47"/>
        <v>2774.7321538461542</v>
      </c>
      <c r="J60" s="2">
        <v>70</v>
      </c>
      <c r="K60" s="10">
        <f t="shared" si="48"/>
        <v>1942.3125076923079</v>
      </c>
      <c r="L60" s="17"/>
      <c r="M60" s="10"/>
      <c r="N60" s="10"/>
      <c r="O60" s="10">
        <f>SUM(G60:G60)</f>
        <v>2331.7076923076925</v>
      </c>
      <c r="P60" s="10"/>
      <c r="Q60" s="10"/>
      <c r="R60" s="10"/>
      <c r="S60" s="10"/>
      <c r="T60" s="10"/>
      <c r="U60" s="10">
        <f t="shared" si="58"/>
        <v>539.55716000000007</v>
      </c>
      <c r="V60" s="10">
        <f>O60+U60</f>
        <v>2871.2648523076923</v>
      </c>
      <c r="W60" s="10">
        <f t="shared" si="49"/>
        <v>1942.3125076923079</v>
      </c>
      <c r="X60" s="10">
        <f t="shared" si="59"/>
        <v>96.532698461538075</v>
      </c>
      <c r="Y60" s="10">
        <f t="shared" si="60"/>
        <v>832.41964615384632</v>
      </c>
      <c r="Z60" s="10">
        <f t="shared" si="61"/>
        <v>155</v>
      </c>
    </row>
    <row r="61" spans="1:26">
      <c r="A61" s="18">
        <v>47422</v>
      </c>
      <c r="B61" s="16">
        <v>1</v>
      </c>
      <c r="C61" s="7" t="s">
        <v>32</v>
      </c>
      <c r="D61" s="7" t="s">
        <v>33</v>
      </c>
      <c r="E61" s="7"/>
      <c r="F61" s="20">
        <v>3031.22</v>
      </c>
      <c r="G61" s="8">
        <f t="shared" ref="G61:G63" si="62">F61*($J$2/39)*B61</f>
        <v>2331.7076923076925</v>
      </c>
      <c r="H61" s="8">
        <f>SUM(G61:G61)*19%</f>
        <v>443.02446153846159</v>
      </c>
      <c r="I61" s="9">
        <f t="shared" si="47"/>
        <v>2774.7321538461542</v>
      </c>
      <c r="J61" s="2">
        <v>70</v>
      </c>
      <c r="K61" s="10">
        <f t="shared" si="48"/>
        <v>1942.3125076923079</v>
      </c>
      <c r="L61" s="17"/>
      <c r="M61" s="10"/>
      <c r="N61" s="10"/>
      <c r="O61" s="10">
        <f>SUM(G61:G61)</f>
        <v>2331.7076923076925</v>
      </c>
      <c r="P61" s="10"/>
      <c r="Q61" s="10"/>
      <c r="R61" s="10"/>
      <c r="S61" s="10"/>
      <c r="T61" s="10"/>
      <c r="U61" s="10">
        <f t="shared" si="58"/>
        <v>539.55716000000007</v>
      </c>
      <c r="V61" s="10">
        <f t="shared" ref="V61:V63" si="63">O61+U61</f>
        <v>2871.2648523076923</v>
      </c>
      <c r="W61" s="10">
        <f t="shared" si="49"/>
        <v>1942.3125076923079</v>
      </c>
      <c r="X61" s="10">
        <f t="shared" si="59"/>
        <v>96.532698461538075</v>
      </c>
      <c r="Y61" s="10">
        <f t="shared" si="60"/>
        <v>832.41964615384632</v>
      </c>
      <c r="Z61" s="10">
        <f t="shared" si="61"/>
        <v>155</v>
      </c>
    </row>
    <row r="62" spans="1:26">
      <c r="A62" s="18">
        <v>47452</v>
      </c>
      <c r="B62" s="16">
        <v>1</v>
      </c>
      <c r="C62" s="7" t="s">
        <v>32</v>
      </c>
      <c r="D62" s="7" t="s">
        <v>33</v>
      </c>
      <c r="E62" s="7"/>
      <c r="F62" s="20">
        <v>3031.22</v>
      </c>
      <c r="G62" s="8">
        <f t="shared" si="62"/>
        <v>2331.7076923076925</v>
      </c>
      <c r="H62" s="8">
        <f>SUM(G62:G62)*19%</f>
        <v>443.02446153846159</v>
      </c>
      <c r="I62" s="9">
        <f t="shared" si="47"/>
        <v>2774.7321538461542</v>
      </c>
      <c r="J62" s="2">
        <v>70</v>
      </c>
      <c r="K62" s="10">
        <f t="shared" si="48"/>
        <v>1942.3125076923079</v>
      </c>
      <c r="L62" s="17"/>
      <c r="M62" s="10"/>
      <c r="N62" s="10"/>
      <c r="O62" s="10">
        <f>SUM(G62:G62)</f>
        <v>2331.7076923076925</v>
      </c>
      <c r="P62" s="10"/>
      <c r="Q62" s="10"/>
      <c r="R62" s="10"/>
      <c r="S62" s="10"/>
      <c r="T62" s="10"/>
      <c r="U62" s="10">
        <f t="shared" si="58"/>
        <v>539.55716000000007</v>
      </c>
      <c r="V62" s="10">
        <f t="shared" si="63"/>
        <v>2871.2648523076923</v>
      </c>
      <c r="W62" s="10">
        <f t="shared" si="49"/>
        <v>1942.3125076923079</v>
      </c>
      <c r="X62" s="10">
        <f t="shared" si="59"/>
        <v>96.532698461538075</v>
      </c>
      <c r="Y62" s="10">
        <f t="shared" si="60"/>
        <v>832.41964615384632</v>
      </c>
      <c r="Z62" s="10">
        <f t="shared" si="61"/>
        <v>155</v>
      </c>
    </row>
    <row r="63" spans="1:26">
      <c r="A63" s="18">
        <v>47483</v>
      </c>
      <c r="B63" s="16">
        <v>1</v>
      </c>
      <c r="C63" s="7" t="s">
        <v>32</v>
      </c>
      <c r="D63" s="7" t="s">
        <v>33</v>
      </c>
      <c r="E63" s="7"/>
      <c r="F63" s="20">
        <v>3031.22</v>
      </c>
      <c r="G63" s="8">
        <f t="shared" si="62"/>
        <v>2331.7076923076925</v>
      </c>
      <c r="H63" s="8">
        <f>SUM(G63:G63)*19%</f>
        <v>443.02446153846159</v>
      </c>
      <c r="I63" s="9">
        <f t="shared" si="47"/>
        <v>2774.7321538461542</v>
      </c>
      <c r="J63" s="2">
        <v>70</v>
      </c>
      <c r="K63" s="10">
        <f t="shared" si="48"/>
        <v>1942.3125076923079</v>
      </c>
      <c r="L63" s="17"/>
      <c r="M63" s="10"/>
      <c r="N63" s="10"/>
      <c r="O63" s="10">
        <f>SUM(G63:G63)</f>
        <v>2331.7076923076925</v>
      </c>
      <c r="P63" s="10"/>
      <c r="Q63" s="10"/>
      <c r="R63" s="10"/>
      <c r="S63" s="10"/>
      <c r="T63" s="10"/>
      <c r="U63" s="10">
        <f t="shared" si="58"/>
        <v>539.55716000000007</v>
      </c>
      <c r="V63" s="10">
        <f t="shared" si="63"/>
        <v>2871.2648523076923</v>
      </c>
      <c r="W63" s="10">
        <f t="shared" si="49"/>
        <v>1942.3125076923079</v>
      </c>
      <c r="X63" s="10">
        <f t="shared" si="59"/>
        <v>96.532698461538075</v>
      </c>
      <c r="Y63" s="10">
        <f t="shared" si="60"/>
        <v>832.41964615384632</v>
      </c>
      <c r="Z63" s="10">
        <f t="shared" si="61"/>
        <v>155</v>
      </c>
    </row>
    <row r="64" spans="1:26">
      <c r="A64" s="18"/>
      <c r="B64" s="7"/>
      <c r="C64" s="7"/>
      <c r="D64" s="7"/>
      <c r="E64" s="7"/>
      <c r="F64" s="20"/>
      <c r="G64" s="8"/>
      <c r="H64" s="8"/>
      <c r="I64" s="9"/>
      <c r="J64" s="2"/>
      <c r="K64" s="10"/>
      <c r="L64" s="17">
        <f>SUM(B51:B63)</f>
        <v>12</v>
      </c>
      <c r="M64" s="10"/>
      <c r="N64" s="10"/>
      <c r="O64" s="42" t="s">
        <v>34</v>
      </c>
      <c r="P64" s="42"/>
      <c r="Q64" s="42"/>
      <c r="R64" s="42"/>
      <c r="S64" s="42"/>
      <c r="T64" s="42"/>
      <c r="U64" s="42"/>
      <c r="V64" s="42"/>
      <c r="W64" s="42"/>
      <c r="X64" s="42">
        <f>IF(V63&gt;0,O60*85%*(L64/12),0)</f>
        <v>1981.9515384615386</v>
      </c>
      <c r="Y64" s="43"/>
      <c r="Z64" s="42"/>
    </row>
    <row r="65" spans="1:26">
      <c r="A65" s="18"/>
      <c r="B65" s="7"/>
      <c r="C65" s="7"/>
      <c r="D65" s="7"/>
      <c r="E65" s="7"/>
      <c r="F65" s="20"/>
      <c r="G65" s="8"/>
      <c r="H65" s="8"/>
      <c r="I65" s="9"/>
      <c r="J65" s="2"/>
      <c r="K65" s="10"/>
      <c r="M65" s="10"/>
      <c r="N65" s="10"/>
      <c r="O65" s="42" t="s">
        <v>35</v>
      </c>
      <c r="P65" s="42"/>
      <c r="Q65" s="42"/>
      <c r="R65" s="42"/>
      <c r="S65" s="42"/>
      <c r="T65" s="42"/>
      <c r="U65" s="42"/>
      <c r="V65" s="43"/>
      <c r="W65" s="42"/>
      <c r="X65" s="42">
        <f>IF(V63&gt;0,U60*85%*(L64/12),0)</f>
        <v>458.62358600000005</v>
      </c>
      <c r="Y65" s="43"/>
      <c r="Z65" s="42"/>
    </row>
    <row r="66" spans="1:26">
      <c r="F66" s="20"/>
      <c r="H66"/>
      <c r="I66" s="2"/>
      <c r="J66" s="2"/>
      <c r="L66" s="17"/>
      <c r="M66" s="10"/>
      <c r="N66" s="10"/>
      <c r="O66" s="11">
        <f>SUM(O51:O65)</f>
        <v>27581.415384615382</v>
      </c>
      <c r="P66" s="11">
        <f t="shared" ref="P66:U66" si="64">SUM(P51:P65)</f>
        <v>0</v>
      </c>
      <c r="Q66" s="11">
        <f t="shared" si="64"/>
        <v>0</v>
      </c>
      <c r="R66" s="11">
        <f t="shared" si="64"/>
        <v>0</v>
      </c>
      <c r="S66" s="11">
        <f t="shared" si="64"/>
        <v>0</v>
      </c>
      <c r="T66" s="11">
        <f t="shared" si="64"/>
        <v>0</v>
      </c>
      <c r="U66" s="11">
        <f t="shared" si="64"/>
        <v>6382.3395200000004</v>
      </c>
      <c r="V66" s="11">
        <f>SUM(V51:V63)</f>
        <v>33963.754904615387</v>
      </c>
      <c r="W66" s="11">
        <f t="shared" ref="W66" si="65">SUM(W51:W65)</f>
        <v>23382.624434615391</v>
      </c>
      <c r="X66" s="11">
        <f>SUM(X51:X65)</f>
        <v>3582.4457213846167</v>
      </c>
      <c r="Y66" s="11">
        <f>SUM(Y51:Y65)</f>
        <v>9439.2598730769241</v>
      </c>
      <c r="Z66" s="11">
        <f t="shared" ref="Z66" si="66">SUM(Z51:Z65)</f>
        <v>1860</v>
      </c>
    </row>
    <row r="67" spans="1:26">
      <c r="A67" s="18">
        <v>47514</v>
      </c>
      <c r="B67" s="16">
        <v>1</v>
      </c>
      <c r="C67" s="7" t="s">
        <v>32</v>
      </c>
      <c r="D67" s="7" t="s">
        <v>33</v>
      </c>
      <c r="E67" s="7"/>
      <c r="F67" s="20">
        <v>3031.22</v>
      </c>
      <c r="G67" s="8">
        <f t="shared" ref="G67:G79" si="67">F67*($J$2/39)*B67</f>
        <v>2331.7076923076925</v>
      </c>
      <c r="H67" s="8">
        <f>SUM(G67:G67)*19%</f>
        <v>443.02446153846159</v>
      </c>
      <c r="I67" s="9">
        <f t="shared" ref="I67:I79" si="68">SUM(G67:H67)</f>
        <v>2774.7321538461542</v>
      </c>
      <c r="J67" s="2">
        <v>70</v>
      </c>
      <c r="K67" s="10">
        <f t="shared" ref="K67:K79" si="69">I67*J67%</f>
        <v>1942.3125076923079</v>
      </c>
      <c r="L67" s="17"/>
      <c r="M67" s="10"/>
      <c r="N67" s="10"/>
      <c r="O67" s="10">
        <f>SUM(G67:G67)</f>
        <v>2331.7076923076925</v>
      </c>
      <c r="P67" s="10"/>
      <c r="Q67" s="10"/>
      <c r="R67" s="10"/>
      <c r="S67" s="10"/>
      <c r="T67" s="10"/>
      <c r="U67" s="10">
        <f>O67*$Y$2</f>
        <v>539.55716000000007</v>
      </c>
      <c r="V67" s="10">
        <f>O67+U67</f>
        <v>2871.2648523076923</v>
      </c>
      <c r="W67" s="10">
        <f t="shared" ref="W67:W78" si="70">K67</f>
        <v>1942.3125076923079</v>
      </c>
      <c r="X67" s="10">
        <f>V67-I67</f>
        <v>96.532698461538075</v>
      </c>
      <c r="Y67" s="10">
        <f>V67-W67-X67</f>
        <v>832.41964615384632</v>
      </c>
      <c r="Z67" s="10">
        <f>$M$2*B67</f>
        <v>155</v>
      </c>
    </row>
    <row r="68" spans="1:26">
      <c r="A68" s="49">
        <v>47529</v>
      </c>
      <c r="B68" s="16">
        <v>0.5</v>
      </c>
      <c r="C68" s="7" t="s">
        <v>32</v>
      </c>
      <c r="D68" s="7" t="s">
        <v>33</v>
      </c>
      <c r="E68" s="7"/>
      <c r="F68" s="20">
        <v>3031.22</v>
      </c>
      <c r="G68" s="8">
        <f t="shared" si="67"/>
        <v>1165.8538461538462</v>
      </c>
      <c r="H68" s="8">
        <f>SUM(G68:G68)*19%</f>
        <v>221.5122307692308</v>
      </c>
      <c r="I68" s="9">
        <f t="shared" si="68"/>
        <v>1387.3660769230771</v>
      </c>
      <c r="J68" s="53">
        <v>70</v>
      </c>
      <c r="K68" s="10">
        <f t="shared" si="69"/>
        <v>971.15625384615396</v>
      </c>
      <c r="L68" s="17"/>
      <c r="M68" s="10"/>
      <c r="N68" s="10"/>
      <c r="O68" s="10">
        <f>SUM(G68:G68)</f>
        <v>1165.8538461538462</v>
      </c>
      <c r="P68" s="10"/>
      <c r="Q68" s="10"/>
      <c r="R68" s="10"/>
      <c r="S68" s="10"/>
      <c r="T68" s="10"/>
      <c r="U68" s="10">
        <f t="shared" ref="U68:U78" si="71">O68*$Y$2</f>
        <v>269.77858000000003</v>
      </c>
      <c r="V68" s="10">
        <f>O68+U68</f>
        <v>1435.6324261538462</v>
      </c>
      <c r="W68" s="10">
        <f t="shared" si="70"/>
        <v>971.15625384615396</v>
      </c>
      <c r="X68" s="10">
        <f t="shared" ref="X68:X78" si="72">V68-I68</f>
        <v>48.266349230769038</v>
      </c>
      <c r="Y68" s="10">
        <f t="shared" ref="Y68:Y78" si="73">V68-W68-X68</f>
        <v>416.20982307692316</v>
      </c>
      <c r="Z68" s="10">
        <f t="shared" ref="Z68:Z78" si="74">$M$2*B68</f>
        <v>77.5</v>
      </c>
    </row>
    <row r="69" spans="1:26">
      <c r="A69" s="18"/>
      <c r="B69" s="16"/>
      <c r="C69" s="7" t="s">
        <v>32</v>
      </c>
      <c r="D69" s="7" t="s">
        <v>33</v>
      </c>
      <c r="E69" s="7"/>
      <c r="F69" s="20"/>
      <c r="G69" s="8">
        <f t="shared" si="67"/>
        <v>0</v>
      </c>
      <c r="H69" s="8">
        <f>SUM(G69:G69)*19%</f>
        <v>0</v>
      </c>
      <c r="I69" s="9">
        <f t="shared" si="68"/>
        <v>0</v>
      </c>
      <c r="J69" s="2"/>
      <c r="K69" s="10">
        <f t="shared" si="69"/>
        <v>0</v>
      </c>
      <c r="L69" s="17"/>
      <c r="M69" s="10"/>
      <c r="N69" s="10"/>
      <c r="O69" s="10">
        <f>SUM(G69:G69)</f>
        <v>0</v>
      </c>
      <c r="P69" s="10"/>
      <c r="Q69" s="10"/>
      <c r="R69" s="10"/>
      <c r="S69" s="10"/>
      <c r="T69" s="10"/>
      <c r="U69" s="10">
        <f t="shared" si="71"/>
        <v>0</v>
      </c>
      <c r="V69" s="10">
        <f>O69+U69</f>
        <v>0</v>
      </c>
      <c r="W69" s="10">
        <f t="shared" si="70"/>
        <v>0</v>
      </c>
      <c r="X69" s="10">
        <f t="shared" si="72"/>
        <v>0</v>
      </c>
      <c r="Y69" s="10">
        <f t="shared" si="73"/>
        <v>0</v>
      </c>
      <c r="Z69" s="10">
        <f t="shared" si="74"/>
        <v>0</v>
      </c>
    </row>
    <row r="70" spans="1:26">
      <c r="A70" s="18"/>
      <c r="B70" s="16"/>
      <c r="C70" s="7" t="s">
        <v>32</v>
      </c>
      <c r="D70" s="7" t="s">
        <v>33</v>
      </c>
      <c r="E70" s="7"/>
      <c r="F70" s="20"/>
      <c r="G70" s="8">
        <f t="shared" si="67"/>
        <v>0</v>
      </c>
      <c r="H70" s="8">
        <f>SUM(G70:G70)*19%</f>
        <v>0</v>
      </c>
      <c r="I70" s="9">
        <f t="shared" si="68"/>
        <v>0</v>
      </c>
      <c r="J70" s="2"/>
      <c r="K70" s="10">
        <f t="shared" si="69"/>
        <v>0</v>
      </c>
      <c r="L70" s="17"/>
      <c r="M70" s="10"/>
      <c r="N70" s="10"/>
      <c r="O70" s="10">
        <f>SUM(G70:G70)</f>
        <v>0</v>
      </c>
      <c r="P70" s="10"/>
      <c r="Q70" s="10"/>
      <c r="R70" s="10"/>
      <c r="S70" s="10"/>
      <c r="T70" s="10"/>
      <c r="U70" s="10">
        <f t="shared" si="71"/>
        <v>0</v>
      </c>
      <c r="V70" s="10">
        <f>O70+U70</f>
        <v>0</v>
      </c>
      <c r="W70" s="10">
        <f t="shared" si="70"/>
        <v>0</v>
      </c>
      <c r="X70" s="10">
        <f t="shared" si="72"/>
        <v>0</v>
      </c>
      <c r="Y70" s="10">
        <f t="shared" si="73"/>
        <v>0</v>
      </c>
      <c r="Z70" s="10">
        <f t="shared" si="74"/>
        <v>0</v>
      </c>
    </row>
    <row r="71" spans="1:26">
      <c r="A71" s="18"/>
      <c r="B71" s="16"/>
      <c r="C71" s="7" t="s">
        <v>32</v>
      </c>
      <c r="D71" s="7" t="s">
        <v>33</v>
      </c>
      <c r="E71" s="7"/>
      <c r="F71" s="20"/>
      <c r="G71" s="8">
        <f t="shared" si="67"/>
        <v>0</v>
      </c>
      <c r="H71" s="8">
        <f>SUM(G71:G71)*19%</f>
        <v>0</v>
      </c>
      <c r="I71" s="9">
        <f t="shared" si="68"/>
        <v>0</v>
      </c>
      <c r="J71" s="2"/>
      <c r="K71" s="10">
        <f t="shared" si="69"/>
        <v>0</v>
      </c>
      <c r="L71" s="17"/>
      <c r="M71" s="10"/>
      <c r="N71" s="10"/>
      <c r="O71" s="10">
        <f>SUM(G71:G71)</f>
        <v>0</v>
      </c>
      <c r="P71" s="10"/>
      <c r="Q71" s="10"/>
      <c r="R71" s="10"/>
      <c r="S71" s="10"/>
      <c r="T71" s="10"/>
      <c r="U71" s="10">
        <f t="shared" si="71"/>
        <v>0</v>
      </c>
      <c r="V71" s="10">
        <f>O71+U71</f>
        <v>0</v>
      </c>
      <c r="W71" s="10">
        <f t="shared" si="70"/>
        <v>0</v>
      </c>
      <c r="X71" s="10">
        <f t="shared" si="72"/>
        <v>0</v>
      </c>
      <c r="Y71" s="10">
        <f t="shared" si="73"/>
        <v>0</v>
      </c>
      <c r="Z71" s="10">
        <f t="shared" si="74"/>
        <v>0</v>
      </c>
    </row>
    <row r="72" spans="1:26">
      <c r="A72" s="18"/>
      <c r="B72" s="16"/>
      <c r="C72" s="7" t="s">
        <v>32</v>
      </c>
      <c r="D72" s="7" t="s">
        <v>33</v>
      </c>
      <c r="E72" s="7"/>
      <c r="F72" s="20"/>
      <c r="G72" s="8">
        <f t="shared" si="67"/>
        <v>0</v>
      </c>
      <c r="H72" s="8">
        <f>SUM(G72:G72)*19%</f>
        <v>0</v>
      </c>
      <c r="I72" s="9">
        <f t="shared" si="68"/>
        <v>0</v>
      </c>
      <c r="J72" s="2"/>
      <c r="K72" s="10">
        <f t="shared" si="69"/>
        <v>0</v>
      </c>
      <c r="L72" s="17"/>
      <c r="M72" s="10"/>
      <c r="N72" s="10"/>
      <c r="O72" s="10">
        <f>SUM(G72:G72)</f>
        <v>0</v>
      </c>
      <c r="P72" s="10"/>
      <c r="Q72" s="10"/>
      <c r="R72" s="10"/>
      <c r="S72" s="10"/>
      <c r="T72" s="10"/>
      <c r="U72" s="10">
        <f t="shared" si="71"/>
        <v>0</v>
      </c>
      <c r="V72" s="10">
        <f>O72+U72</f>
        <v>0</v>
      </c>
      <c r="W72" s="10">
        <f t="shared" si="70"/>
        <v>0</v>
      </c>
      <c r="X72" s="10">
        <f t="shared" si="72"/>
        <v>0</v>
      </c>
      <c r="Y72" s="10">
        <f t="shared" si="73"/>
        <v>0</v>
      </c>
      <c r="Z72" s="10">
        <f t="shared" si="74"/>
        <v>0</v>
      </c>
    </row>
    <row r="73" spans="1:26">
      <c r="A73" s="18"/>
      <c r="B73" s="16"/>
      <c r="C73" s="7" t="s">
        <v>32</v>
      </c>
      <c r="D73" s="7" t="s">
        <v>33</v>
      </c>
      <c r="E73" s="7"/>
      <c r="F73" s="20"/>
      <c r="G73" s="8">
        <f t="shared" si="67"/>
        <v>0</v>
      </c>
      <c r="H73" s="8">
        <f>SUM(G73:G73)*19%</f>
        <v>0</v>
      </c>
      <c r="I73" s="9">
        <f t="shared" si="68"/>
        <v>0</v>
      </c>
      <c r="J73" s="2"/>
      <c r="K73" s="10">
        <f t="shared" si="69"/>
        <v>0</v>
      </c>
      <c r="L73" s="17"/>
      <c r="M73" s="10"/>
      <c r="N73" s="10"/>
      <c r="O73" s="10">
        <f>SUM(G73:G73)</f>
        <v>0</v>
      </c>
      <c r="P73" s="10"/>
      <c r="Q73" s="10"/>
      <c r="R73" s="10"/>
      <c r="S73" s="10"/>
      <c r="T73" s="10"/>
      <c r="U73" s="10">
        <f t="shared" si="71"/>
        <v>0</v>
      </c>
      <c r="V73" s="10">
        <f>O73+U73</f>
        <v>0</v>
      </c>
      <c r="W73" s="10">
        <f t="shared" si="70"/>
        <v>0</v>
      </c>
      <c r="X73" s="10">
        <f t="shared" si="72"/>
        <v>0</v>
      </c>
      <c r="Y73" s="10">
        <f t="shared" si="73"/>
        <v>0</v>
      </c>
      <c r="Z73" s="10">
        <f t="shared" si="74"/>
        <v>0</v>
      </c>
    </row>
    <row r="74" spans="1:26">
      <c r="A74" s="18"/>
      <c r="B74" s="16"/>
      <c r="C74" s="7" t="s">
        <v>32</v>
      </c>
      <c r="D74" s="7" t="s">
        <v>33</v>
      </c>
      <c r="E74" s="7"/>
      <c r="F74" s="20"/>
      <c r="G74" s="8">
        <f t="shared" si="67"/>
        <v>0</v>
      </c>
      <c r="H74" s="8">
        <f>SUM(G74:G74)*19%</f>
        <v>0</v>
      </c>
      <c r="I74" s="9">
        <f t="shared" si="68"/>
        <v>0</v>
      </c>
      <c r="J74" s="2"/>
      <c r="K74" s="10">
        <f t="shared" si="69"/>
        <v>0</v>
      </c>
      <c r="L74" s="17"/>
      <c r="M74" s="10"/>
      <c r="N74" s="10"/>
      <c r="O74" s="10">
        <f>SUM(G74:G74)</f>
        <v>0</v>
      </c>
      <c r="P74" s="10"/>
      <c r="Q74" s="10"/>
      <c r="R74" s="10"/>
      <c r="S74" s="10"/>
      <c r="T74" s="10"/>
      <c r="U74" s="10">
        <f t="shared" si="71"/>
        <v>0</v>
      </c>
      <c r="V74" s="10">
        <f>O74+U74</f>
        <v>0</v>
      </c>
      <c r="W74" s="10">
        <f t="shared" si="70"/>
        <v>0</v>
      </c>
      <c r="X74" s="10">
        <f t="shared" si="72"/>
        <v>0</v>
      </c>
      <c r="Y74" s="10">
        <f t="shared" si="73"/>
        <v>0</v>
      </c>
      <c r="Z74" s="10">
        <f t="shared" si="74"/>
        <v>0</v>
      </c>
    </row>
    <row r="75" spans="1:26">
      <c r="A75" s="18"/>
      <c r="B75" s="16"/>
      <c r="C75" s="7" t="s">
        <v>32</v>
      </c>
      <c r="D75" s="7" t="s">
        <v>33</v>
      </c>
      <c r="E75" s="7"/>
      <c r="F75" s="20"/>
      <c r="G75" s="8">
        <f>F75*($J$2/39)*B75</f>
        <v>0</v>
      </c>
      <c r="H75" s="8">
        <f>SUM(G75:G75)*19%</f>
        <v>0</v>
      </c>
      <c r="I75" s="9">
        <f t="shared" si="68"/>
        <v>0</v>
      </c>
      <c r="J75" s="2"/>
      <c r="K75" s="10">
        <f t="shared" si="69"/>
        <v>0</v>
      </c>
      <c r="L75" s="17"/>
      <c r="M75" s="10"/>
      <c r="N75" s="10"/>
      <c r="O75" s="10">
        <f>SUM(G75:G75)</f>
        <v>0</v>
      </c>
      <c r="P75" s="10"/>
      <c r="Q75" s="10"/>
      <c r="R75" s="10"/>
      <c r="S75" s="10"/>
      <c r="T75" s="10"/>
      <c r="U75" s="10">
        <f t="shared" si="71"/>
        <v>0</v>
      </c>
      <c r="V75" s="10">
        <f>O75+U75</f>
        <v>0</v>
      </c>
      <c r="W75" s="10">
        <f t="shared" si="70"/>
        <v>0</v>
      </c>
      <c r="X75" s="10">
        <f t="shared" si="72"/>
        <v>0</v>
      </c>
      <c r="Y75" s="10">
        <f t="shared" si="73"/>
        <v>0</v>
      </c>
      <c r="Z75" s="10">
        <f t="shared" si="74"/>
        <v>0</v>
      </c>
    </row>
    <row r="76" spans="1:26">
      <c r="A76" s="18"/>
      <c r="B76" s="16"/>
      <c r="C76" s="7" t="s">
        <v>32</v>
      </c>
      <c r="D76" s="7" t="s">
        <v>33</v>
      </c>
      <c r="E76" s="7"/>
      <c r="F76" s="20"/>
      <c r="G76" s="8">
        <f t="shared" ref="G76:G78" si="75">F76*($J$2/39)*B76</f>
        <v>0</v>
      </c>
      <c r="H76" s="8">
        <f>SUM(G76:G76)*19%</f>
        <v>0</v>
      </c>
      <c r="I76" s="9">
        <f t="shared" si="68"/>
        <v>0</v>
      </c>
      <c r="J76" s="2"/>
      <c r="K76" s="10">
        <f t="shared" si="69"/>
        <v>0</v>
      </c>
      <c r="L76" s="17"/>
      <c r="M76" s="10"/>
      <c r="N76" s="10"/>
      <c r="O76" s="10">
        <f>SUM(G76:G76)</f>
        <v>0</v>
      </c>
      <c r="P76" s="10"/>
      <c r="Q76" s="10"/>
      <c r="R76" s="10"/>
      <c r="S76" s="10"/>
      <c r="T76" s="10"/>
      <c r="U76" s="10">
        <f t="shared" si="71"/>
        <v>0</v>
      </c>
      <c r="V76" s="10">
        <f t="shared" ref="V76:V78" si="76">O76+U76</f>
        <v>0</v>
      </c>
      <c r="W76" s="10">
        <f t="shared" si="70"/>
        <v>0</v>
      </c>
      <c r="X76" s="10">
        <f t="shared" si="72"/>
        <v>0</v>
      </c>
      <c r="Y76" s="10">
        <f t="shared" si="73"/>
        <v>0</v>
      </c>
      <c r="Z76" s="10">
        <f t="shared" si="74"/>
        <v>0</v>
      </c>
    </row>
    <row r="77" spans="1:26">
      <c r="A77" s="18"/>
      <c r="B77" s="16"/>
      <c r="C77" s="7" t="s">
        <v>32</v>
      </c>
      <c r="D77" s="7" t="s">
        <v>33</v>
      </c>
      <c r="E77" s="7"/>
      <c r="F77" s="20"/>
      <c r="G77" s="8">
        <f t="shared" si="75"/>
        <v>0</v>
      </c>
      <c r="H77" s="8">
        <f>SUM(G77:G77)*19%</f>
        <v>0</v>
      </c>
      <c r="I77" s="9">
        <f t="shared" si="68"/>
        <v>0</v>
      </c>
      <c r="J77" s="2"/>
      <c r="K77" s="10">
        <f t="shared" si="69"/>
        <v>0</v>
      </c>
      <c r="L77" s="17"/>
      <c r="M77" s="10"/>
      <c r="N77" s="10"/>
      <c r="O77" s="10">
        <f>SUM(G77:G77)</f>
        <v>0</v>
      </c>
      <c r="P77" s="10"/>
      <c r="Q77" s="10"/>
      <c r="R77" s="10"/>
      <c r="S77" s="10"/>
      <c r="T77" s="10"/>
      <c r="U77" s="10">
        <f t="shared" si="71"/>
        <v>0</v>
      </c>
      <c r="V77" s="10">
        <f t="shared" si="76"/>
        <v>0</v>
      </c>
      <c r="W77" s="10">
        <f t="shared" si="70"/>
        <v>0</v>
      </c>
      <c r="X77" s="10">
        <f t="shared" si="72"/>
        <v>0</v>
      </c>
      <c r="Y77" s="10">
        <f t="shared" si="73"/>
        <v>0</v>
      </c>
      <c r="Z77" s="10">
        <f t="shared" si="74"/>
        <v>0</v>
      </c>
    </row>
    <row r="78" spans="1:26">
      <c r="A78" s="18"/>
      <c r="B78" s="16"/>
      <c r="C78" s="7" t="s">
        <v>32</v>
      </c>
      <c r="D78" s="7" t="s">
        <v>33</v>
      </c>
      <c r="E78" s="7"/>
      <c r="F78" s="20"/>
      <c r="G78" s="8">
        <f t="shared" si="75"/>
        <v>0</v>
      </c>
      <c r="H78" s="8">
        <f>SUM(G78:G78)*19%</f>
        <v>0</v>
      </c>
      <c r="I78" s="9">
        <f t="shared" si="68"/>
        <v>0</v>
      </c>
      <c r="J78" s="2"/>
      <c r="K78" s="10">
        <f t="shared" si="69"/>
        <v>0</v>
      </c>
      <c r="L78" s="17"/>
      <c r="M78" s="10"/>
      <c r="N78" s="10"/>
      <c r="O78" s="10">
        <f>SUM(G78:G78)</f>
        <v>0</v>
      </c>
      <c r="P78" s="10"/>
      <c r="Q78" s="10"/>
      <c r="R78" s="10"/>
      <c r="S78" s="10"/>
      <c r="T78" s="10"/>
      <c r="U78" s="10">
        <f t="shared" si="71"/>
        <v>0</v>
      </c>
      <c r="V78" s="10">
        <f t="shared" si="76"/>
        <v>0</v>
      </c>
      <c r="W78" s="10">
        <f t="shared" si="70"/>
        <v>0</v>
      </c>
      <c r="X78" s="10">
        <f t="shared" si="72"/>
        <v>0</v>
      </c>
      <c r="Y78" s="10">
        <f t="shared" si="73"/>
        <v>0</v>
      </c>
      <c r="Z78" s="10">
        <f t="shared" si="74"/>
        <v>0</v>
      </c>
    </row>
    <row r="79" spans="1:26">
      <c r="A79" s="18"/>
      <c r="B79" s="7"/>
      <c r="C79" s="7"/>
      <c r="D79" s="7"/>
      <c r="E79" s="7"/>
      <c r="F79" s="20"/>
      <c r="G79" s="8"/>
      <c r="H79" s="8"/>
      <c r="I79" s="9"/>
      <c r="J79" s="2"/>
      <c r="K79" s="10"/>
      <c r="L79" s="17">
        <f>SUM(B67:B78)</f>
        <v>1.5</v>
      </c>
      <c r="M79" s="10"/>
      <c r="N79" s="10"/>
      <c r="O79" s="42" t="s">
        <v>34</v>
      </c>
      <c r="P79" s="42"/>
      <c r="Q79" s="42"/>
      <c r="R79" s="42"/>
      <c r="S79" s="42"/>
      <c r="T79" s="42"/>
      <c r="U79" s="42"/>
      <c r="V79" s="42"/>
      <c r="W79" s="42"/>
      <c r="X79" s="42">
        <f>IF(V78&gt;0,O75*85%*(L79/12),0)</f>
        <v>0</v>
      </c>
      <c r="Y79" s="43"/>
      <c r="Z79" s="42"/>
    </row>
    <row r="80" spans="1:26">
      <c r="A80" s="18"/>
      <c r="B80" s="7"/>
      <c r="C80" s="7"/>
      <c r="D80" s="7"/>
      <c r="E80" s="7"/>
      <c r="F80" s="20"/>
      <c r="G80" s="8"/>
      <c r="H80" s="8"/>
      <c r="I80" s="9"/>
      <c r="J80" s="2"/>
      <c r="K80" s="10"/>
      <c r="M80" s="10"/>
      <c r="N80" s="10"/>
      <c r="O80" s="42" t="s">
        <v>35</v>
      </c>
      <c r="P80" s="42"/>
      <c r="Q80" s="42"/>
      <c r="R80" s="42"/>
      <c r="S80" s="42"/>
      <c r="T80" s="42"/>
      <c r="U80" s="42"/>
      <c r="V80" s="43"/>
      <c r="W80" s="42"/>
      <c r="X80" s="42">
        <f>IF(V78&gt;0,U75*85%*(L79/12),0)</f>
        <v>0</v>
      </c>
      <c r="Y80" s="43"/>
      <c r="Z80" s="42"/>
    </row>
    <row r="81" spans="1:26">
      <c r="F81" s="20"/>
      <c r="H81"/>
      <c r="I81" s="2"/>
      <c r="J81" s="2"/>
      <c r="L81" s="17"/>
      <c r="M81" s="10"/>
      <c r="N81" s="10"/>
      <c r="O81" s="11">
        <f>SUM(O67:O80)</f>
        <v>3497.5615384615385</v>
      </c>
      <c r="P81" s="11">
        <f t="shared" ref="P81:U81" si="77">SUM(P67:P80)</f>
        <v>0</v>
      </c>
      <c r="Q81" s="11">
        <f t="shared" si="77"/>
        <v>0</v>
      </c>
      <c r="R81" s="11">
        <f t="shared" si="77"/>
        <v>0</v>
      </c>
      <c r="S81" s="11">
        <f t="shared" si="77"/>
        <v>0</v>
      </c>
      <c r="T81" s="11">
        <f t="shared" si="77"/>
        <v>0</v>
      </c>
      <c r="U81" s="11">
        <f t="shared" si="77"/>
        <v>809.3357400000001</v>
      </c>
      <c r="V81" s="11">
        <f>SUM(V67:V78)</f>
        <v>4306.897278461538</v>
      </c>
      <c r="W81" s="11">
        <f t="shared" ref="W81" si="78">SUM(W67:W80)</f>
        <v>2913.4687615384619</v>
      </c>
      <c r="X81" s="11">
        <f>SUM(X67:X80)</f>
        <v>144.79904769230711</v>
      </c>
      <c r="Y81" s="11">
        <f>SUM(Y67:Y80)</f>
        <v>1248.6294692307695</v>
      </c>
      <c r="Z81" s="11">
        <f t="shared" ref="Z81" si="79">SUM(Z67:Z80)</f>
        <v>232.5</v>
      </c>
    </row>
    <row r="82" spans="1:26">
      <c r="A82" s="18"/>
      <c r="B82" s="16"/>
      <c r="C82" s="7" t="s">
        <v>32</v>
      </c>
      <c r="D82" s="7" t="s">
        <v>33</v>
      </c>
      <c r="E82" s="7"/>
      <c r="F82" s="20"/>
      <c r="G82" s="8">
        <f t="shared" ref="G82:G94" si="80">F82*($J$2/39)*B82</f>
        <v>0</v>
      </c>
      <c r="H82" s="8">
        <f>SUM(G82:G82)*19%</f>
        <v>0</v>
      </c>
      <c r="I82" s="9">
        <f t="shared" ref="I82:I94" si="81">SUM(G82:H82)</f>
        <v>0</v>
      </c>
      <c r="J82" s="2">
        <v>70</v>
      </c>
      <c r="K82" s="10">
        <f t="shared" ref="K82:K94" si="82">I82*J82%</f>
        <v>0</v>
      </c>
      <c r="L82" s="17"/>
      <c r="M82" s="10"/>
      <c r="N82" s="10"/>
      <c r="O82" s="10">
        <f>SUM(G82:G82)</f>
        <v>0</v>
      </c>
      <c r="P82" s="10"/>
      <c r="Q82" s="10"/>
      <c r="R82" s="10"/>
      <c r="S82" s="10"/>
      <c r="T82" s="10"/>
      <c r="U82" s="10">
        <f>O82*$Y$2</f>
        <v>0</v>
      </c>
      <c r="V82" s="10">
        <f>O82+U82</f>
        <v>0</v>
      </c>
      <c r="W82" s="10">
        <f t="shared" ref="W82:W93" si="83">K82</f>
        <v>0</v>
      </c>
      <c r="X82" s="10">
        <f>V82-I82</f>
        <v>0</v>
      </c>
      <c r="Y82" s="10">
        <f>V82-W82-X82</f>
        <v>0</v>
      </c>
      <c r="Z82" s="10">
        <f>$M$2*B82</f>
        <v>0</v>
      </c>
    </row>
    <row r="83" spans="1:26">
      <c r="A83" s="18"/>
      <c r="B83" s="16"/>
      <c r="C83" s="7" t="s">
        <v>32</v>
      </c>
      <c r="D83" s="7" t="s">
        <v>33</v>
      </c>
      <c r="E83" s="7"/>
      <c r="F83" s="20"/>
      <c r="G83" s="8">
        <f t="shared" si="80"/>
        <v>0</v>
      </c>
      <c r="H83" s="8">
        <f>SUM(G83:G83)*19%</f>
        <v>0</v>
      </c>
      <c r="I83" s="9">
        <f t="shared" si="81"/>
        <v>0</v>
      </c>
      <c r="J83" s="2">
        <v>70</v>
      </c>
      <c r="K83" s="10">
        <f t="shared" si="82"/>
        <v>0</v>
      </c>
      <c r="L83" s="17"/>
      <c r="M83" s="10"/>
      <c r="N83" s="10"/>
      <c r="O83" s="10">
        <f>SUM(G83:G83)</f>
        <v>0</v>
      </c>
      <c r="P83" s="10"/>
      <c r="Q83" s="10"/>
      <c r="R83" s="10"/>
      <c r="S83" s="10"/>
      <c r="T83" s="10"/>
      <c r="U83" s="10">
        <f t="shared" ref="U83:U93" si="84">O83*$Y$2</f>
        <v>0</v>
      </c>
      <c r="V83" s="10">
        <f>O83+U83</f>
        <v>0</v>
      </c>
      <c r="W83" s="10">
        <f t="shared" si="83"/>
        <v>0</v>
      </c>
      <c r="X83" s="10">
        <f t="shared" ref="X83:X93" si="85">V83-I83</f>
        <v>0</v>
      </c>
      <c r="Y83" s="10">
        <f t="shared" ref="Y83:Y93" si="86">V83-W83-X83</f>
        <v>0</v>
      </c>
      <c r="Z83" s="10">
        <f t="shared" ref="Z83:Z93" si="87">$M$2*B83</f>
        <v>0</v>
      </c>
    </row>
    <row r="84" spans="1:26">
      <c r="A84" s="18"/>
      <c r="B84" s="16"/>
      <c r="C84" s="7" t="s">
        <v>32</v>
      </c>
      <c r="D84" s="7" t="s">
        <v>33</v>
      </c>
      <c r="E84" s="7"/>
      <c r="F84" s="20"/>
      <c r="G84" s="8">
        <f t="shared" si="80"/>
        <v>0</v>
      </c>
      <c r="H84" s="8">
        <f>SUM(G84:G84)*19%</f>
        <v>0</v>
      </c>
      <c r="I84" s="9">
        <f t="shared" si="81"/>
        <v>0</v>
      </c>
      <c r="J84" s="2">
        <v>70</v>
      </c>
      <c r="K84" s="10">
        <f t="shared" si="82"/>
        <v>0</v>
      </c>
      <c r="L84" s="17"/>
      <c r="M84" s="10"/>
      <c r="N84" s="10"/>
      <c r="O84" s="10">
        <f>SUM(G84:G84)</f>
        <v>0</v>
      </c>
      <c r="P84" s="10"/>
      <c r="Q84" s="10"/>
      <c r="R84" s="10"/>
      <c r="S84" s="10"/>
      <c r="T84" s="10"/>
      <c r="U84" s="10">
        <f t="shared" si="84"/>
        <v>0</v>
      </c>
      <c r="V84" s="10">
        <f>O84+U84</f>
        <v>0</v>
      </c>
      <c r="W84" s="10">
        <f t="shared" si="83"/>
        <v>0</v>
      </c>
      <c r="X84" s="10">
        <f t="shared" si="85"/>
        <v>0</v>
      </c>
      <c r="Y84" s="10">
        <f t="shared" si="86"/>
        <v>0</v>
      </c>
      <c r="Z84" s="10">
        <f t="shared" si="87"/>
        <v>0</v>
      </c>
    </row>
    <row r="85" spans="1:26">
      <c r="A85" s="18"/>
      <c r="B85" s="16"/>
      <c r="C85" s="7" t="s">
        <v>32</v>
      </c>
      <c r="D85" s="7" t="s">
        <v>33</v>
      </c>
      <c r="E85" s="7"/>
      <c r="F85" s="20"/>
      <c r="G85" s="8">
        <f t="shared" si="80"/>
        <v>0</v>
      </c>
      <c r="H85" s="8">
        <f>SUM(G85:G85)*19%</f>
        <v>0</v>
      </c>
      <c r="I85" s="9">
        <f t="shared" si="81"/>
        <v>0</v>
      </c>
      <c r="J85" s="2">
        <v>70</v>
      </c>
      <c r="K85" s="10">
        <f t="shared" si="82"/>
        <v>0</v>
      </c>
      <c r="L85" s="17"/>
      <c r="M85" s="10"/>
      <c r="N85" s="10"/>
      <c r="O85" s="10">
        <f>SUM(G85:G85)</f>
        <v>0</v>
      </c>
      <c r="P85" s="10"/>
      <c r="Q85" s="10"/>
      <c r="R85" s="10"/>
      <c r="S85" s="10"/>
      <c r="T85" s="10"/>
      <c r="U85" s="10">
        <f t="shared" si="84"/>
        <v>0</v>
      </c>
      <c r="V85" s="10">
        <f>O85+U85</f>
        <v>0</v>
      </c>
      <c r="W85" s="10">
        <f t="shared" si="83"/>
        <v>0</v>
      </c>
      <c r="X85" s="10">
        <f t="shared" si="85"/>
        <v>0</v>
      </c>
      <c r="Y85" s="10">
        <f t="shared" si="86"/>
        <v>0</v>
      </c>
      <c r="Z85" s="10">
        <f t="shared" si="87"/>
        <v>0</v>
      </c>
    </row>
    <row r="86" spans="1:26">
      <c r="A86" s="18"/>
      <c r="B86" s="16"/>
      <c r="C86" s="7" t="s">
        <v>32</v>
      </c>
      <c r="D86" s="7" t="s">
        <v>33</v>
      </c>
      <c r="E86" s="7"/>
      <c r="F86" s="20"/>
      <c r="G86" s="8">
        <f t="shared" si="80"/>
        <v>0</v>
      </c>
      <c r="H86" s="8">
        <f>SUM(G86:G86)*19%</f>
        <v>0</v>
      </c>
      <c r="I86" s="9">
        <f t="shared" si="81"/>
        <v>0</v>
      </c>
      <c r="J86" s="2">
        <v>70</v>
      </c>
      <c r="K86" s="10">
        <f t="shared" si="82"/>
        <v>0</v>
      </c>
      <c r="L86" s="17"/>
      <c r="M86" s="10"/>
      <c r="N86" s="10"/>
      <c r="O86" s="10">
        <f>SUM(G86:G86)</f>
        <v>0</v>
      </c>
      <c r="P86" s="10"/>
      <c r="Q86" s="10"/>
      <c r="R86" s="10"/>
      <c r="S86" s="10"/>
      <c r="T86" s="10"/>
      <c r="U86" s="10">
        <f t="shared" si="84"/>
        <v>0</v>
      </c>
      <c r="V86" s="10">
        <f>O86+U86</f>
        <v>0</v>
      </c>
      <c r="W86" s="10">
        <f t="shared" si="83"/>
        <v>0</v>
      </c>
      <c r="X86" s="10">
        <f t="shared" si="85"/>
        <v>0</v>
      </c>
      <c r="Y86" s="10">
        <f t="shared" si="86"/>
        <v>0</v>
      </c>
      <c r="Z86" s="10">
        <f t="shared" si="87"/>
        <v>0</v>
      </c>
    </row>
    <row r="87" spans="1:26">
      <c r="A87" s="18"/>
      <c r="B87" s="16"/>
      <c r="C87" s="7" t="s">
        <v>32</v>
      </c>
      <c r="D87" s="7" t="s">
        <v>33</v>
      </c>
      <c r="E87" s="7"/>
      <c r="F87" s="20"/>
      <c r="G87" s="8">
        <f t="shared" si="80"/>
        <v>0</v>
      </c>
      <c r="H87" s="8">
        <f>SUM(G87:G87)*19%</f>
        <v>0</v>
      </c>
      <c r="I87" s="9">
        <f t="shared" si="81"/>
        <v>0</v>
      </c>
      <c r="J87" s="2">
        <v>70</v>
      </c>
      <c r="K87" s="10">
        <f t="shared" si="82"/>
        <v>0</v>
      </c>
      <c r="L87" s="17"/>
      <c r="M87" s="10"/>
      <c r="N87" s="10"/>
      <c r="O87" s="10">
        <f>SUM(G87:G87)</f>
        <v>0</v>
      </c>
      <c r="P87" s="10"/>
      <c r="Q87" s="10"/>
      <c r="R87" s="10"/>
      <c r="S87" s="10"/>
      <c r="T87" s="10"/>
      <c r="U87" s="10">
        <f t="shared" si="84"/>
        <v>0</v>
      </c>
      <c r="V87" s="10">
        <f>O87+U87</f>
        <v>0</v>
      </c>
      <c r="W87" s="10">
        <f t="shared" si="83"/>
        <v>0</v>
      </c>
      <c r="X87" s="10">
        <f t="shared" si="85"/>
        <v>0</v>
      </c>
      <c r="Y87" s="10">
        <f t="shared" si="86"/>
        <v>0</v>
      </c>
      <c r="Z87" s="10">
        <f t="shared" si="87"/>
        <v>0</v>
      </c>
    </row>
    <row r="88" spans="1:26">
      <c r="A88" s="18"/>
      <c r="B88" s="16"/>
      <c r="C88" s="7" t="s">
        <v>32</v>
      </c>
      <c r="D88" s="7" t="s">
        <v>33</v>
      </c>
      <c r="E88" s="7"/>
      <c r="F88" s="20"/>
      <c r="G88" s="8">
        <f t="shared" si="80"/>
        <v>0</v>
      </c>
      <c r="H88" s="8">
        <f>SUM(G88:G88)*19%</f>
        <v>0</v>
      </c>
      <c r="I88" s="9">
        <f t="shared" si="81"/>
        <v>0</v>
      </c>
      <c r="J88" s="2">
        <v>70</v>
      </c>
      <c r="K88" s="10">
        <f t="shared" si="82"/>
        <v>0</v>
      </c>
      <c r="L88" s="17"/>
      <c r="M88" s="10"/>
      <c r="N88" s="10"/>
      <c r="O88" s="10">
        <f>SUM(G88:G88)</f>
        <v>0</v>
      </c>
      <c r="P88" s="10"/>
      <c r="Q88" s="10"/>
      <c r="R88" s="10"/>
      <c r="S88" s="10"/>
      <c r="T88" s="10"/>
      <c r="U88" s="10">
        <f t="shared" si="84"/>
        <v>0</v>
      </c>
      <c r="V88" s="10">
        <f>O88+U88</f>
        <v>0</v>
      </c>
      <c r="W88" s="10">
        <f t="shared" si="83"/>
        <v>0</v>
      </c>
      <c r="X88" s="10">
        <f t="shared" si="85"/>
        <v>0</v>
      </c>
      <c r="Y88" s="10">
        <f t="shared" si="86"/>
        <v>0</v>
      </c>
      <c r="Z88" s="10">
        <f t="shared" si="87"/>
        <v>0</v>
      </c>
    </row>
    <row r="89" spans="1:26">
      <c r="A89" s="18"/>
      <c r="B89" s="16"/>
      <c r="C89" s="7" t="s">
        <v>32</v>
      </c>
      <c r="D89" s="7" t="s">
        <v>33</v>
      </c>
      <c r="E89" s="7"/>
      <c r="F89" s="20"/>
      <c r="G89" s="8">
        <f t="shared" si="80"/>
        <v>0</v>
      </c>
      <c r="H89" s="8">
        <f>SUM(G89:G89)*19%</f>
        <v>0</v>
      </c>
      <c r="I89" s="9">
        <f t="shared" si="81"/>
        <v>0</v>
      </c>
      <c r="J89" s="2">
        <v>70</v>
      </c>
      <c r="K89" s="10">
        <f t="shared" si="82"/>
        <v>0</v>
      </c>
      <c r="L89" s="17"/>
      <c r="M89" s="10"/>
      <c r="N89" s="10"/>
      <c r="O89" s="10">
        <f>SUM(G89:G89)</f>
        <v>0</v>
      </c>
      <c r="P89" s="10"/>
      <c r="Q89" s="10"/>
      <c r="R89" s="10"/>
      <c r="S89" s="10"/>
      <c r="T89" s="10"/>
      <c r="U89" s="10">
        <f t="shared" si="84"/>
        <v>0</v>
      </c>
      <c r="V89" s="10">
        <f>O89+U89</f>
        <v>0</v>
      </c>
      <c r="W89" s="10">
        <f t="shared" si="83"/>
        <v>0</v>
      </c>
      <c r="X89" s="10">
        <f t="shared" si="85"/>
        <v>0</v>
      </c>
      <c r="Y89" s="10">
        <f t="shared" si="86"/>
        <v>0</v>
      </c>
      <c r="Z89" s="10">
        <f t="shared" si="87"/>
        <v>0</v>
      </c>
    </row>
    <row r="90" spans="1:26">
      <c r="A90" s="18"/>
      <c r="B90" s="16"/>
      <c r="C90" s="7" t="s">
        <v>32</v>
      </c>
      <c r="D90" s="7" t="s">
        <v>33</v>
      </c>
      <c r="E90" s="7"/>
      <c r="F90" s="20"/>
      <c r="G90" s="8">
        <f>F90*($J$2/39)*B90</f>
        <v>0</v>
      </c>
      <c r="H90" s="8">
        <f>SUM(G90:G90)*19%</f>
        <v>0</v>
      </c>
      <c r="I90" s="9">
        <f t="shared" si="81"/>
        <v>0</v>
      </c>
      <c r="J90" s="2"/>
      <c r="K90" s="10">
        <f t="shared" si="82"/>
        <v>0</v>
      </c>
      <c r="L90" s="17"/>
      <c r="M90" s="10"/>
      <c r="N90" s="10"/>
      <c r="O90" s="10">
        <f>SUM(G90:G90)</f>
        <v>0</v>
      </c>
      <c r="P90" s="10"/>
      <c r="Q90" s="10"/>
      <c r="R90" s="10"/>
      <c r="S90" s="10"/>
      <c r="T90" s="10"/>
      <c r="U90" s="10">
        <f t="shared" si="84"/>
        <v>0</v>
      </c>
      <c r="V90" s="10">
        <f>O90+U90</f>
        <v>0</v>
      </c>
      <c r="W90" s="10">
        <f t="shared" si="83"/>
        <v>0</v>
      </c>
      <c r="X90" s="10">
        <f t="shared" si="85"/>
        <v>0</v>
      </c>
      <c r="Y90" s="10">
        <f t="shared" si="86"/>
        <v>0</v>
      </c>
      <c r="Z90" s="10">
        <f t="shared" si="87"/>
        <v>0</v>
      </c>
    </row>
    <row r="91" spans="1:26">
      <c r="A91" s="18"/>
      <c r="B91" s="16"/>
      <c r="C91" s="7" t="s">
        <v>32</v>
      </c>
      <c r="D91" s="7" t="s">
        <v>33</v>
      </c>
      <c r="E91" s="7"/>
      <c r="F91" s="20"/>
      <c r="G91" s="8">
        <f t="shared" ref="G91:G93" si="88">F91*($J$2/39)*B91</f>
        <v>0</v>
      </c>
      <c r="H91" s="8">
        <f>SUM(G91:G91)*19%</f>
        <v>0</v>
      </c>
      <c r="I91" s="9">
        <f t="shared" si="81"/>
        <v>0</v>
      </c>
      <c r="J91" s="2"/>
      <c r="K91" s="10">
        <f t="shared" si="82"/>
        <v>0</v>
      </c>
      <c r="L91" s="17"/>
      <c r="M91" s="10"/>
      <c r="N91" s="10"/>
      <c r="O91" s="10">
        <f>SUM(G91:G91)</f>
        <v>0</v>
      </c>
      <c r="P91" s="10"/>
      <c r="Q91" s="10"/>
      <c r="R91" s="10"/>
      <c r="S91" s="10"/>
      <c r="T91" s="10"/>
      <c r="U91" s="10">
        <f t="shared" si="84"/>
        <v>0</v>
      </c>
      <c r="V91" s="10">
        <f t="shared" ref="V91:V93" si="89">O91+U91</f>
        <v>0</v>
      </c>
      <c r="W91" s="10">
        <f t="shared" si="83"/>
        <v>0</v>
      </c>
      <c r="X91" s="10">
        <f t="shared" si="85"/>
        <v>0</v>
      </c>
      <c r="Y91" s="10">
        <f t="shared" si="86"/>
        <v>0</v>
      </c>
      <c r="Z91" s="10">
        <f t="shared" si="87"/>
        <v>0</v>
      </c>
    </row>
    <row r="92" spans="1:26">
      <c r="A92" s="18"/>
      <c r="B92" s="16"/>
      <c r="C92" s="7" t="s">
        <v>32</v>
      </c>
      <c r="D92" s="7" t="s">
        <v>33</v>
      </c>
      <c r="E92" s="7"/>
      <c r="F92" s="20"/>
      <c r="G92" s="8">
        <f t="shared" si="88"/>
        <v>0</v>
      </c>
      <c r="H92" s="8">
        <f>SUM(G92:G92)*19%</f>
        <v>0</v>
      </c>
      <c r="I92" s="9">
        <f t="shared" si="81"/>
        <v>0</v>
      </c>
      <c r="J92" s="2"/>
      <c r="K92" s="10">
        <f t="shared" si="82"/>
        <v>0</v>
      </c>
      <c r="L92" s="17"/>
      <c r="M92" s="10"/>
      <c r="N92" s="10"/>
      <c r="O92" s="10">
        <f>SUM(G92:G92)</f>
        <v>0</v>
      </c>
      <c r="P92" s="10"/>
      <c r="Q92" s="10"/>
      <c r="R92" s="10"/>
      <c r="S92" s="10"/>
      <c r="T92" s="10"/>
      <c r="U92" s="10">
        <f t="shared" si="84"/>
        <v>0</v>
      </c>
      <c r="V92" s="10">
        <f t="shared" si="89"/>
        <v>0</v>
      </c>
      <c r="W92" s="10">
        <f t="shared" si="83"/>
        <v>0</v>
      </c>
      <c r="X92" s="10">
        <f t="shared" si="85"/>
        <v>0</v>
      </c>
      <c r="Y92" s="10">
        <f t="shared" si="86"/>
        <v>0</v>
      </c>
      <c r="Z92" s="10">
        <f t="shared" si="87"/>
        <v>0</v>
      </c>
    </row>
    <row r="93" spans="1:26">
      <c r="A93" s="18"/>
      <c r="B93" s="16"/>
      <c r="C93" s="7" t="s">
        <v>32</v>
      </c>
      <c r="D93" s="7" t="s">
        <v>33</v>
      </c>
      <c r="E93" s="7"/>
      <c r="F93" s="20"/>
      <c r="G93" s="8">
        <f t="shared" si="88"/>
        <v>0</v>
      </c>
      <c r="H93" s="8">
        <f>SUM(G93:G93)*19%</f>
        <v>0</v>
      </c>
      <c r="I93" s="9">
        <f t="shared" si="81"/>
        <v>0</v>
      </c>
      <c r="J93" s="2"/>
      <c r="K93" s="10">
        <f t="shared" si="82"/>
        <v>0</v>
      </c>
      <c r="L93" s="17"/>
      <c r="M93" s="10"/>
      <c r="N93" s="10"/>
      <c r="O93" s="10">
        <f>SUM(G93:G93)</f>
        <v>0</v>
      </c>
      <c r="P93" s="10"/>
      <c r="Q93" s="10"/>
      <c r="R93" s="10"/>
      <c r="S93" s="10"/>
      <c r="T93" s="10"/>
      <c r="U93" s="10">
        <f t="shared" si="84"/>
        <v>0</v>
      </c>
      <c r="V93" s="10">
        <f t="shared" si="89"/>
        <v>0</v>
      </c>
      <c r="W93" s="10">
        <f t="shared" si="83"/>
        <v>0</v>
      </c>
      <c r="X93" s="10">
        <f t="shared" si="85"/>
        <v>0</v>
      </c>
      <c r="Y93" s="10">
        <f t="shared" si="86"/>
        <v>0</v>
      </c>
      <c r="Z93" s="10">
        <f t="shared" si="87"/>
        <v>0</v>
      </c>
    </row>
    <row r="94" spans="1:26">
      <c r="A94" s="18"/>
      <c r="B94" s="7"/>
      <c r="C94" s="7"/>
      <c r="D94" s="7"/>
      <c r="E94" s="7"/>
      <c r="F94" s="20"/>
      <c r="G94" s="8"/>
      <c r="H94" s="8"/>
      <c r="I94" s="9"/>
      <c r="J94" s="2"/>
      <c r="K94" s="10"/>
      <c r="L94" s="17">
        <f>SUM(B82:B93)</f>
        <v>0</v>
      </c>
      <c r="M94" s="10"/>
      <c r="N94" s="10"/>
      <c r="O94" s="42" t="s">
        <v>34</v>
      </c>
      <c r="P94" s="42"/>
      <c r="Q94" s="42"/>
      <c r="R94" s="42"/>
      <c r="S94" s="42"/>
      <c r="T94" s="42"/>
      <c r="U94" s="42"/>
      <c r="V94" s="42"/>
      <c r="W94" s="42"/>
      <c r="X94" s="42">
        <f>IF(V93&gt;0,O90*85%*(L94/12),0)</f>
        <v>0</v>
      </c>
      <c r="Y94" s="43"/>
      <c r="Z94" s="42"/>
    </row>
    <row r="95" spans="1:26">
      <c r="A95" s="18"/>
      <c r="B95" s="7"/>
      <c r="C95" s="7"/>
      <c r="D95" s="7"/>
      <c r="E95" s="7"/>
      <c r="F95" s="20"/>
      <c r="G95" s="8"/>
      <c r="H95" s="8"/>
      <c r="I95" s="9"/>
      <c r="J95" s="2"/>
      <c r="K95" s="10"/>
      <c r="M95" s="10"/>
      <c r="N95" s="10"/>
      <c r="O95" s="42" t="s">
        <v>35</v>
      </c>
      <c r="P95" s="42"/>
      <c r="Q95" s="42"/>
      <c r="R95" s="42"/>
      <c r="S95" s="42"/>
      <c r="T95" s="42"/>
      <c r="U95" s="42"/>
      <c r="V95" s="43"/>
      <c r="W95" s="42"/>
      <c r="X95" s="42">
        <f>IF(V93&gt;0,U90*85%*(L94/12),0)</f>
        <v>0</v>
      </c>
      <c r="Y95" s="43"/>
      <c r="Z95" s="42"/>
    </row>
    <row r="96" spans="1:26">
      <c r="F96" s="20"/>
      <c r="H96"/>
      <c r="I96" s="2"/>
      <c r="J96" s="2"/>
      <c r="L96" s="17"/>
      <c r="M96" s="10"/>
      <c r="N96" s="10"/>
      <c r="O96" s="11">
        <f>SUM(O82:O95)</f>
        <v>0</v>
      </c>
      <c r="P96" s="11">
        <f t="shared" ref="P96:U96" si="90">SUM(P82:P95)</f>
        <v>0</v>
      </c>
      <c r="Q96" s="11">
        <f t="shared" si="90"/>
        <v>0</v>
      </c>
      <c r="R96" s="11">
        <f t="shared" si="90"/>
        <v>0</v>
      </c>
      <c r="S96" s="11">
        <f t="shared" si="90"/>
        <v>0</v>
      </c>
      <c r="T96" s="11">
        <f t="shared" si="90"/>
        <v>0</v>
      </c>
      <c r="U96" s="11">
        <f t="shared" si="90"/>
        <v>0</v>
      </c>
      <c r="V96" s="11">
        <f>SUM(V82:V93)</f>
        <v>0</v>
      </c>
      <c r="W96" s="11">
        <f t="shared" ref="W96" si="91">SUM(W82:W95)</f>
        <v>0</v>
      </c>
      <c r="X96" s="11">
        <f>SUM(X82:X95)</f>
        <v>0</v>
      </c>
      <c r="Y96" s="11">
        <f>SUM(Y82:Y95)</f>
        <v>0</v>
      </c>
      <c r="Z96" s="11">
        <f t="shared" ref="Z96" si="92">SUM(Z82:Z95)</f>
        <v>0</v>
      </c>
    </row>
    <row r="97" spans="1:26">
      <c r="F97" s="20"/>
      <c r="H97"/>
      <c r="I97" s="2"/>
      <c r="J97" s="2"/>
    </row>
    <row r="98" spans="1:26">
      <c r="F98" s="20"/>
      <c r="H98"/>
      <c r="I98" s="2"/>
      <c r="J98" s="2"/>
      <c r="U98">
        <v>2026</v>
      </c>
      <c r="V98" s="10">
        <f>V18</f>
        <v>10132.603316923076</v>
      </c>
      <c r="W98" s="10">
        <f>W18</f>
        <v>9791.9424615384614</v>
      </c>
      <c r="X98" s="10">
        <f>X18</f>
        <v>1058.3869236666656</v>
      </c>
      <c r="Y98" s="10">
        <f>Y18</f>
        <v>0</v>
      </c>
      <c r="Z98" s="10">
        <f>Z18</f>
        <v>620</v>
      </c>
    </row>
    <row r="99" spans="1:26">
      <c r="F99" s="20"/>
      <c r="H99"/>
      <c r="I99" s="2"/>
      <c r="J99" s="2"/>
      <c r="U99">
        <v>2027</v>
      </c>
      <c r="V99" s="10">
        <f>V34</f>
        <v>31494.599743938463</v>
      </c>
      <c r="W99" s="10">
        <f>W34</f>
        <v>27759.366370615382</v>
      </c>
      <c r="X99" s="10">
        <f>X34</f>
        <v>3423.5711885538453</v>
      </c>
      <c r="Y99" s="10">
        <f>Y34</f>
        <v>2676.376438615383</v>
      </c>
      <c r="Z99" s="10">
        <f>Z34</f>
        <v>1860</v>
      </c>
    </row>
    <row r="100" spans="1:26">
      <c r="F100" s="20"/>
      <c r="H100"/>
      <c r="I100" s="2"/>
      <c r="J100" s="2"/>
      <c r="U100">
        <v>2028</v>
      </c>
      <c r="V100" s="10">
        <f>V50</f>
        <v>33551.122236923089</v>
      </c>
      <c r="W100" s="10">
        <f>W50</f>
        <v>26341.772261538466</v>
      </c>
      <c r="X100" s="10">
        <f>X50</f>
        <v>3516.3591717692329</v>
      </c>
      <c r="Y100" s="10">
        <f>Y50</f>
        <v>6081.3521999999975</v>
      </c>
      <c r="Z100" s="10">
        <f>Z50</f>
        <v>1860</v>
      </c>
    </row>
    <row r="101" spans="1:26">
      <c r="F101" s="20"/>
      <c r="H101"/>
      <c r="I101" s="2"/>
      <c r="J101" s="2"/>
      <c r="U101">
        <v>2029</v>
      </c>
      <c r="V101" s="10">
        <f>V66</f>
        <v>33963.754904615387</v>
      </c>
      <c r="W101" s="10">
        <f t="shared" ref="W101:Z101" si="93">W66</f>
        <v>23382.624434615391</v>
      </c>
      <c r="X101" s="10">
        <f t="shared" si="93"/>
        <v>3582.4457213846167</v>
      </c>
      <c r="Y101" s="10">
        <f t="shared" si="93"/>
        <v>9439.2598730769241</v>
      </c>
      <c r="Z101" s="10">
        <f t="shared" si="93"/>
        <v>1860</v>
      </c>
    </row>
    <row r="102" spans="1:26">
      <c r="F102" s="20"/>
      <c r="H102"/>
      <c r="I102" s="2"/>
      <c r="J102" s="2"/>
      <c r="U102">
        <v>2030</v>
      </c>
      <c r="V102" s="10">
        <f>V81</f>
        <v>4306.897278461538</v>
      </c>
      <c r="W102" s="10">
        <f t="shared" ref="W102:Z102" si="94">W81</f>
        <v>2913.4687615384619</v>
      </c>
      <c r="X102" s="10">
        <f t="shared" si="94"/>
        <v>144.79904769230711</v>
      </c>
      <c r="Y102" s="10">
        <f t="shared" si="94"/>
        <v>1248.6294692307695</v>
      </c>
      <c r="Z102" s="10">
        <f t="shared" si="94"/>
        <v>232.5</v>
      </c>
    </row>
    <row r="103" spans="1:26">
      <c r="F103" s="20"/>
      <c r="H103"/>
      <c r="I103" s="2"/>
      <c r="J103" s="2"/>
      <c r="U103">
        <v>2031</v>
      </c>
      <c r="V103" s="10">
        <f>V96</f>
        <v>0</v>
      </c>
      <c r="W103" s="10">
        <f t="shared" ref="W103:Z103" si="95">W96</f>
        <v>0</v>
      </c>
      <c r="X103" s="10">
        <f t="shared" si="95"/>
        <v>0</v>
      </c>
      <c r="Y103" s="10">
        <f t="shared" si="95"/>
        <v>0</v>
      </c>
      <c r="Z103" s="10">
        <f t="shared" si="95"/>
        <v>0</v>
      </c>
    </row>
    <row r="104" spans="1:26">
      <c r="F104" s="20"/>
      <c r="H104"/>
      <c r="I104" s="2"/>
      <c r="J104" s="2"/>
      <c r="V104" s="15">
        <f>SUM(V98:V103)</f>
        <v>113448.97748086155</v>
      </c>
      <c r="W104" s="15">
        <f t="shared" ref="W104:Z104" si="96">SUM(W98:W103)</f>
        <v>90189.174289846167</v>
      </c>
      <c r="X104" s="15">
        <f t="shared" si="96"/>
        <v>11725.562053066667</v>
      </c>
      <c r="Y104" s="15">
        <f t="shared" si="96"/>
        <v>19445.617980923074</v>
      </c>
      <c r="Z104" s="15">
        <f t="shared" si="96"/>
        <v>6432.5</v>
      </c>
    </row>
    <row r="106" spans="1:26">
      <c r="A106" s="19"/>
      <c r="B106" s="44"/>
    </row>
    <row r="107" spans="1:26">
      <c r="A107" s="46" t="s">
        <v>37</v>
      </c>
      <c r="B107" s="45" t="s">
        <v>38</v>
      </c>
    </row>
    <row r="108" spans="1:26">
      <c r="A108" s="19" t="s">
        <v>39</v>
      </c>
    </row>
    <row r="109" spans="1:26">
      <c r="A109" s="50" t="s">
        <v>40</v>
      </c>
    </row>
    <row r="110" spans="1:26">
      <c r="A110" s="50" t="s">
        <v>41</v>
      </c>
    </row>
    <row r="111" spans="1:26">
      <c r="A111" s="54" t="s">
        <v>42</v>
      </c>
    </row>
  </sheetData>
  <phoneticPr fontId="4" type="noConversion"/>
  <pageMargins left="0.7" right="0.7" top="0.78740157499999996" bottom="0.78740157499999996" header="0.3" footer="0.3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CC04-8AE6-44AD-8C2C-72CFD88BC2FA}">
  <dimension ref="A1:R19"/>
  <sheetViews>
    <sheetView workbookViewId="0">
      <selection activeCell="O10" sqref="O10"/>
    </sheetView>
  </sheetViews>
  <sheetFormatPr defaultRowHeight="15"/>
  <sheetData>
    <row r="1" spans="1:18" ht="15.75">
      <c r="A1" s="26" t="s">
        <v>43</v>
      </c>
      <c r="B1" s="26"/>
      <c r="C1" s="26"/>
      <c r="D1" s="26"/>
      <c r="E1" s="26" t="s">
        <v>44</v>
      </c>
      <c r="F1" s="26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 t="s">
        <v>45</v>
      </c>
      <c r="O2" s="27"/>
      <c r="P2" s="27"/>
      <c r="Q2" s="27" t="s">
        <v>46</v>
      </c>
      <c r="R2" s="27"/>
    </row>
    <row r="3" spans="1:18">
      <c r="A3" s="28" t="s">
        <v>47</v>
      </c>
      <c r="B3" s="29" t="s">
        <v>47</v>
      </c>
      <c r="C3" s="30" t="s">
        <v>21</v>
      </c>
      <c r="D3" s="30" t="s">
        <v>48</v>
      </c>
      <c r="E3" s="30" t="s">
        <v>22</v>
      </c>
      <c r="F3" s="30" t="s">
        <v>49</v>
      </c>
      <c r="G3" s="30" t="s">
        <v>50</v>
      </c>
      <c r="H3" s="30" t="s">
        <v>51</v>
      </c>
      <c r="I3" s="30" t="s">
        <v>52</v>
      </c>
      <c r="J3" s="30" t="s">
        <v>53</v>
      </c>
      <c r="K3" s="30" t="s">
        <v>54</v>
      </c>
      <c r="L3" s="30" t="s">
        <v>55</v>
      </c>
      <c r="M3" s="27"/>
      <c r="N3" s="31" t="s">
        <v>56</v>
      </c>
      <c r="O3" s="30" t="s">
        <v>57</v>
      </c>
      <c r="P3" s="27"/>
      <c r="Q3" s="31" t="s">
        <v>56</v>
      </c>
      <c r="R3" s="30" t="s">
        <v>57</v>
      </c>
    </row>
    <row r="4" spans="1:18">
      <c r="A4" s="32" t="s">
        <v>47</v>
      </c>
      <c r="B4" s="33" t="s">
        <v>47</v>
      </c>
      <c r="C4" s="33" t="s">
        <v>47</v>
      </c>
      <c r="D4" s="33" t="s">
        <v>47</v>
      </c>
      <c r="E4" s="33" t="s">
        <v>47</v>
      </c>
      <c r="F4" s="33" t="s">
        <v>47</v>
      </c>
      <c r="G4" s="33" t="s">
        <v>47</v>
      </c>
      <c r="H4" s="33" t="s">
        <v>47</v>
      </c>
      <c r="I4" s="33" t="s">
        <v>47</v>
      </c>
      <c r="J4" s="33" t="s">
        <v>47</v>
      </c>
      <c r="K4" s="33" t="s">
        <v>47</v>
      </c>
      <c r="L4" s="33" t="s">
        <v>47</v>
      </c>
      <c r="M4" s="27"/>
      <c r="N4" s="34" t="s">
        <v>47</v>
      </c>
      <c r="O4" s="33" t="s">
        <v>47</v>
      </c>
      <c r="P4" s="27"/>
      <c r="Q4" s="34" t="s">
        <v>47</v>
      </c>
      <c r="R4" s="33" t="s">
        <v>47</v>
      </c>
    </row>
    <row r="5" spans="1:18">
      <c r="A5" s="35" t="s">
        <v>58</v>
      </c>
      <c r="B5" s="33" t="s">
        <v>47</v>
      </c>
      <c r="C5" s="33">
        <v>14.6</v>
      </c>
      <c r="D5" s="33">
        <v>3.5</v>
      </c>
      <c r="E5" s="33">
        <v>18.600000000000001</v>
      </c>
      <c r="F5" s="33">
        <v>2.6</v>
      </c>
      <c r="G5" s="33">
        <v>3.6</v>
      </c>
      <c r="H5" s="33">
        <v>4.2</v>
      </c>
      <c r="I5" s="33">
        <v>1.8</v>
      </c>
      <c r="J5" s="36">
        <v>0.5</v>
      </c>
      <c r="K5" s="33">
        <v>0.47</v>
      </c>
      <c r="L5" s="33">
        <v>0.15</v>
      </c>
      <c r="M5" s="27"/>
      <c r="N5" s="34">
        <v>21.45</v>
      </c>
      <c r="O5" s="33">
        <v>23.87</v>
      </c>
      <c r="P5" s="27"/>
      <c r="Q5" s="34">
        <v>22.05</v>
      </c>
      <c r="R5" s="33">
        <v>23.87</v>
      </c>
    </row>
    <row r="6" spans="1:18">
      <c r="A6" s="35" t="s">
        <v>59</v>
      </c>
      <c r="B6" s="33" t="s">
        <v>47</v>
      </c>
      <c r="C6" s="33">
        <v>14.6</v>
      </c>
      <c r="D6" s="33">
        <v>3.29</v>
      </c>
      <c r="E6" s="33">
        <v>18.600000000000001</v>
      </c>
      <c r="F6" s="33">
        <v>2.6</v>
      </c>
      <c r="G6" s="33">
        <v>3.6</v>
      </c>
      <c r="H6" s="33">
        <v>4.2</v>
      </c>
      <c r="I6" s="33">
        <v>1.9</v>
      </c>
      <c r="J6" s="36">
        <v>0.5</v>
      </c>
      <c r="K6" s="33">
        <v>0.42</v>
      </c>
      <c r="L6" s="33">
        <v>0.15</v>
      </c>
      <c r="M6" s="27"/>
      <c r="N6" s="34">
        <v>21.344999999999999</v>
      </c>
      <c r="O6" s="33">
        <v>23.815000000000001</v>
      </c>
      <c r="P6" s="27"/>
      <c r="Q6" s="34">
        <v>21.945</v>
      </c>
      <c r="R6" s="33">
        <v>23.815000000000001</v>
      </c>
    </row>
    <row r="7" spans="1:18">
      <c r="A7" s="35" t="s">
        <v>60</v>
      </c>
      <c r="B7" s="33" t="s">
        <v>47</v>
      </c>
      <c r="C7" s="33">
        <v>14.6</v>
      </c>
      <c r="D7" s="33">
        <v>3.69</v>
      </c>
      <c r="E7" s="33">
        <v>18.600000000000001</v>
      </c>
      <c r="F7" s="33">
        <v>2.6</v>
      </c>
      <c r="G7" s="33">
        <v>3.6</v>
      </c>
      <c r="H7" s="33">
        <v>4.2</v>
      </c>
      <c r="I7" s="33">
        <v>3.3</v>
      </c>
      <c r="J7" s="36">
        <v>0.8</v>
      </c>
      <c r="K7" s="33">
        <v>0.28999999999999998</v>
      </c>
      <c r="L7" s="33">
        <v>0.15</v>
      </c>
      <c r="M7" s="27"/>
      <c r="N7" s="34">
        <v>21.545000000000002</v>
      </c>
      <c r="O7" s="33">
        <v>25.285</v>
      </c>
      <c r="P7" s="27"/>
      <c r="Q7" s="34">
        <v>22.145</v>
      </c>
      <c r="R7" s="33">
        <v>25.285</v>
      </c>
    </row>
    <row r="8" spans="1:18">
      <c r="A8" s="35" t="s">
        <v>61</v>
      </c>
      <c r="B8" s="33" t="s">
        <v>47</v>
      </c>
      <c r="C8" s="33">
        <v>14.6</v>
      </c>
      <c r="D8" s="33">
        <v>2.69</v>
      </c>
      <c r="E8" s="33">
        <v>18.600000000000001</v>
      </c>
      <c r="F8" s="33">
        <v>2.6</v>
      </c>
      <c r="G8" s="33">
        <v>3.6</v>
      </c>
      <c r="H8" s="33">
        <v>4.2</v>
      </c>
      <c r="I8" s="33">
        <v>1.3</v>
      </c>
      <c r="J8" s="36">
        <v>0.5</v>
      </c>
      <c r="K8" s="33">
        <v>0.44</v>
      </c>
      <c r="L8" s="33">
        <v>0.15</v>
      </c>
      <c r="M8" s="27"/>
      <c r="N8" s="34">
        <v>21.045000000000002</v>
      </c>
      <c r="O8" s="33">
        <v>22.934999999999999</v>
      </c>
      <c r="P8" s="27"/>
      <c r="Q8" s="34">
        <v>21.645</v>
      </c>
      <c r="R8" s="33">
        <v>22.934999999999999</v>
      </c>
    </row>
    <row r="9" spans="1:18">
      <c r="A9" s="35" t="s">
        <v>62</v>
      </c>
      <c r="B9" s="33" t="s">
        <v>47</v>
      </c>
      <c r="C9" s="33">
        <v>14.6</v>
      </c>
      <c r="D9" s="33">
        <v>3.5</v>
      </c>
      <c r="E9" s="33">
        <v>18.600000000000001</v>
      </c>
      <c r="F9" s="33">
        <v>2.6</v>
      </c>
      <c r="G9" s="33">
        <v>3.6</v>
      </c>
      <c r="H9" s="33">
        <v>4.2</v>
      </c>
      <c r="I9" s="33">
        <v>2.44</v>
      </c>
      <c r="J9" s="36">
        <v>0.7</v>
      </c>
      <c r="K9" s="33">
        <v>0.44</v>
      </c>
      <c r="L9" s="33">
        <v>0.15</v>
      </c>
      <c r="M9" s="27"/>
      <c r="N9" s="34">
        <v>21.45</v>
      </c>
      <c r="O9" s="33">
        <v>24.48</v>
      </c>
      <c r="P9" s="27"/>
      <c r="Q9" s="34">
        <v>22.05</v>
      </c>
      <c r="R9" s="33">
        <v>24.48</v>
      </c>
    </row>
    <row r="10" spans="1:18">
      <c r="A10" s="35" t="s">
        <v>9</v>
      </c>
      <c r="B10" s="33" t="s">
        <v>47</v>
      </c>
      <c r="C10" s="33">
        <v>14.6</v>
      </c>
      <c r="D10" s="33">
        <v>3.2</v>
      </c>
      <c r="E10" s="33">
        <v>18.600000000000001</v>
      </c>
      <c r="F10" s="33">
        <v>2.6</v>
      </c>
      <c r="G10" s="33">
        <v>3.6</v>
      </c>
      <c r="H10" s="33">
        <v>4.2</v>
      </c>
      <c r="I10" s="33">
        <v>1.3</v>
      </c>
      <c r="J10" s="36">
        <v>0.5</v>
      </c>
      <c r="K10" s="33">
        <v>0.39</v>
      </c>
      <c r="L10" s="33">
        <v>0.15</v>
      </c>
      <c r="M10" s="27"/>
      <c r="N10" s="34">
        <v>21.3</v>
      </c>
      <c r="O10" s="33">
        <v>23.14</v>
      </c>
      <c r="P10" s="27"/>
      <c r="Q10" s="34">
        <v>21.9</v>
      </c>
      <c r="R10" s="33">
        <v>23.14</v>
      </c>
    </row>
    <row r="11" spans="1:18">
      <c r="A11" s="35" t="s">
        <v>63</v>
      </c>
      <c r="B11" s="33" t="s">
        <v>47</v>
      </c>
      <c r="C11" s="33">
        <v>14.6</v>
      </c>
      <c r="D11" s="33">
        <v>4.3499999999999996</v>
      </c>
      <c r="E11" s="33">
        <v>18.600000000000001</v>
      </c>
      <c r="F11" s="33">
        <v>2.6</v>
      </c>
      <c r="G11" s="33">
        <v>3.6</v>
      </c>
      <c r="H11" s="33">
        <v>4.2</v>
      </c>
      <c r="I11" s="33">
        <v>2.93</v>
      </c>
      <c r="J11" s="36">
        <v>0.7</v>
      </c>
      <c r="K11" s="33">
        <v>0.46</v>
      </c>
      <c r="L11" s="33">
        <v>0.15</v>
      </c>
      <c r="M11" s="27"/>
      <c r="N11" s="34">
        <v>21.875</v>
      </c>
      <c r="O11" s="33">
        <v>25.414999999999999</v>
      </c>
      <c r="P11" s="27"/>
      <c r="Q11" s="34">
        <v>22.475000000000001</v>
      </c>
      <c r="R11" s="33">
        <v>25.414999999999999</v>
      </c>
    </row>
    <row r="12" spans="1:18">
      <c r="A12" s="35" t="s">
        <v>64</v>
      </c>
      <c r="B12" s="33" t="s">
        <v>47</v>
      </c>
      <c r="C12" s="33">
        <v>14.6</v>
      </c>
      <c r="D12" s="33">
        <v>3.78</v>
      </c>
      <c r="E12" s="33">
        <v>18.600000000000001</v>
      </c>
      <c r="F12" s="33">
        <v>2.6</v>
      </c>
      <c r="G12" s="33">
        <v>3.6</v>
      </c>
      <c r="H12" s="33">
        <v>4.2</v>
      </c>
      <c r="I12" s="33">
        <v>1.8</v>
      </c>
      <c r="J12" s="36">
        <v>0.5</v>
      </c>
      <c r="K12" s="33">
        <v>0.44</v>
      </c>
      <c r="L12" s="33">
        <v>0.15</v>
      </c>
      <c r="M12" s="27"/>
      <c r="N12" s="34">
        <v>21.59</v>
      </c>
      <c r="O12" s="33">
        <v>23.98</v>
      </c>
      <c r="P12" s="27"/>
      <c r="Q12" s="34">
        <v>22.19</v>
      </c>
      <c r="R12" s="33">
        <v>23.98</v>
      </c>
    </row>
    <row r="13" spans="1:18">
      <c r="A13" s="35" t="s">
        <v>65</v>
      </c>
      <c r="B13" s="33" t="s">
        <v>47</v>
      </c>
      <c r="C13" s="33">
        <v>14.6</v>
      </c>
      <c r="D13" s="33">
        <v>3.65</v>
      </c>
      <c r="E13" s="33">
        <v>18.600000000000001</v>
      </c>
      <c r="F13" s="33">
        <v>2.6</v>
      </c>
      <c r="G13" s="33">
        <v>3.6</v>
      </c>
      <c r="H13" s="33">
        <v>4.2</v>
      </c>
      <c r="I13" s="33">
        <v>3.2</v>
      </c>
      <c r="J13" s="36">
        <v>0.7</v>
      </c>
      <c r="K13" s="33">
        <v>0.42</v>
      </c>
      <c r="L13" s="33">
        <v>0.15</v>
      </c>
      <c r="M13" s="27"/>
      <c r="N13" s="34">
        <v>21.524999999999999</v>
      </c>
      <c r="O13" s="33">
        <v>25.295000000000002</v>
      </c>
      <c r="P13" s="27"/>
      <c r="Q13" s="34">
        <v>22.125</v>
      </c>
      <c r="R13" s="33">
        <v>25.295000000000002</v>
      </c>
    </row>
    <row r="14" spans="1:18">
      <c r="A14" s="37" t="s">
        <v>66</v>
      </c>
      <c r="B14" s="38" t="s">
        <v>47</v>
      </c>
      <c r="C14" s="38">
        <v>14.6</v>
      </c>
      <c r="D14" s="38">
        <v>3.6</v>
      </c>
      <c r="E14" s="38">
        <v>18.600000000000001</v>
      </c>
      <c r="F14" s="38">
        <v>2.6</v>
      </c>
      <c r="G14" s="38">
        <v>3.6</v>
      </c>
      <c r="H14" s="38">
        <v>4.2</v>
      </c>
      <c r="I14" s="38">
        <v>2.2999999999999998</v>
      </c>
      <c r="J14" s="39">
        <v>0.6</v>
      </c>
      <c r="K14" s="38">
        <v>0.3</v>
      </c>
      <c r="L14" s="38">
        <v>0.15</v>
      </c>
      <c r="M14" s="27"/>
      <c r="N14" s="40">
        <v>21.5</v>
      </c>
      <c r="O14" s="38">
        <v>24.25</v>
      </c>
      <c r="P14" s="27"/>
      <c r="Q14" s="40">
        <v>22.1</v>
      </c>
      <c r="R14" s="38">
        <v>24.25</v>
      </c>
    </row>
    <row r="15" spans="1:18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</row>
    <row r="16" spans="1:18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spans="1:18">
      <c r="A17" s="41" t="s">
        <v>67</v>
      </c>
      <c r="B17" s="41"/>
      <c r="C17" s="41"/>
      <c r="D17" s="41"/>
      <c r="E17" s="41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>
      <c r="A18" s="41" t="s">
        <v>68</v>
      </c>
      <c r="B18" s="41"/>
      <c r="C18" s="41"/>
      <c r="D18" s="41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E48228E3B3D448930FE1A6DDCC5227" ma:contentTypeVersion="9" ma:contentTypeDescription="Create a new document." ma:contentTypeScope="" ma:versionID="65f1c4f347150eea9f8ecda67b32829f">
  <xsd:schema xmlns:xsd="http://www.w3.org/2001/XMLSchema" xmlns:xs="http://www.w3.org/2001/XMLSchema" xmlns:p="http://schemas.microsoft.com/office/2006/metadata/properties" xmlns:ns2="64a803ef-e39d-47ae-a637-2899264daa0a" xmlns:ns3="9c483ccd-f12f-4c60-811b-5eea3a5492dd" targetNamespace="http://schemas.microsoft.com/office/2006/metadata/properties" ma:root="true" ma:fieldsID="07cc9dda54e8aed41c596cf0670a7b15" ns2:_="" ns3:_="">
    <xsd:import namespace="64a803ef-e39d-47ae-a637-2899264daa0a"/>
    <xsd:import namespace="9c483ccd-f12f-4c60-811b-5eea3a549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803ef-e39d-47ae-a637-2899264daa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460d2a4-3e44-41c8-b0cb-0de581a716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83ccd-f12f-4c60-811b-5eea3a5492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a4fb019-0725-4cc0-a2b3-91a64990f744}" ma:internalName="TaxCatchAll" ma:showField="CatchAllData" ma:web="9c483ccd-f12f-4c60-811b-5eea3a549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483ccd-f12f-4c60-811b-5eea3a5492dd" xsi:nil="true"/>
    <lcf76f155ced4ddcb4097134ff3c332f xmlns="64a803ef-e39d-47ae-a637-2899264daa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B11A64-D8E1-4A9D-9C53-AE9E3799CAAC}"/>
</file>

<file path=customXml/itemProps2.xml><?xml version="1.0" encoding="utf-8"?>
<ds:datastoreItem xmlns:ds="http://schemas.openxmlformats.org/officeDocument/2006/customXml" ds:itemID="{9E549199-AC3C-4E20-A004-8DCEFCCF4CB8}"/>
</file>

<file path=customXml/itemProps3.xml><?xml version="1.0" encoding="utf-8"?>
<ds:datastoreItem xmlns:ds="http://schemas.openxmlformats.org/officeDocument/2006/customXml" ds:itemID="{7DBB2323-52B1-41E2-A356-AD0239308A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Holzmann</dc:creator>
  <cp:keywords/>
  <dc:description/>
  <cp:lastModifiedBy>Maxim Mueller</cp:lastModifiedBy>
  <cp:revision/>
  <dcterms:created xsi:type="dcterms:W3CDTF">2025-09-27T08:59:47Z</dcterms:created>
  <dcterms:modified xsi:type="dcterms:W3CDTF">2026-08-28T19:58:49Z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0x01010038E48228E3B3D448930FE1A6DDCC5227</vt:lpwstr>
  </property>
  <property fmtid="{D5CDD505-2E9C-101B-9397-08002B2CF9AE}" pid="3" name="MediaServiceImageTags">
    <vt:lpwstr/>
  </property>
</Properties>
</file>