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DieseArbeitsmappe" defaultThemeVersion="166925"/>
  <mc:AlternateContent xmlns:mc="http://schemas.openxmlformats.org/markup-compatibility/2006">
    <mc:Choice Requires="x15">
      <x15ac:absPath xmlns:x15ac="http://schemas.microsoft.com/office/spreadsheetml/2010/11/ac" url="https://zizberlin.sharepoint.com/sites/WM/Vorgabedokumente/zur Freigabe/"/>
    </mc:Choice>
  </mc:AlternateContent>
  <xr:revisionPtr revIDLastSave="15" documentId="8_{517A4740-3A1C-4C20-9971-17357F29848E}" xr6:coauthVersionLast="47" xr6:coauthVersionMax="47" xr10:uidLastSave="{6A692010-2D51-44DB-9A85-610AE08C8394}"/>
  <bookViews>
    <workbookView xWindow="14050" yWindow="3160" windowWidth="18260" windowHeight="17320" xr2:uid="{00000000-000D-0000-FFFF-FFFF00000000}"/>
  </bookViews>
  <sheets>
    <sheet name="Anleitung zum Ausfüllen" sheetId="3" r:id="rId1"/>
    <sheet name="Nachweis f. Tätigkeit aus Vorb." sheetId="4" r:id="rId2"/>
    <sheet name="Vergleichsberechnung" sheetId="2" r:id="rId3"/>
    <sheet name="Werte" sheetId="5" state="hidden" r:id="rId4"/>
  </sheets>
  <definedNames>
    <definedName name="_xlnm.Print_Area" localSheetId="0">'Anleitung zum Ausfüllen'!$A$1:$A$24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0" i="2" l="1"/>
  <c r="U13" i="2"/>
  <c r="M13" i="2"/>
  <c r="M12" i="2"/>
  <c r="J21" i="2" l="1"/>
  <c r="E10" i="2"/>
  <c r="T12" i="2"/>
  <c r="I19" i="2"/>
  <c r="J19" i="2" s="1"/>
  <c r="U14" i="2" l="1"/>
  <c r="U3" i="2" l="1"/>
  <c r="T3" i="2"/>
  <c r="J10" i="2"/>
  <c r="I10" i="2"/>
  <c r="K22" i="2" s="1"/>
  <c r="U2" i="2"/>
  <c r="T2" i="2"/>
  <c r="J9" i="2"/>
  <c r="I9" i="2"/>
  <c r="V20" i="2"/>
  <c r="V19" i="2"/>
  <c r="V18" i="2"/>
  <c r="R17" i="2" l="1"/>
  <c r="G24" i="2"/>
  <c r="I18" i="2" l="1"/>
  <c r="I24" i="2" s="1"/>
  <c r="T11" i="2"/>
  <c r="T10" i="2"/>
  <c r="J18" i="2" l="1"/>
  <c r="I17" i="2"/>
  <c r="I22" i="2" s="1"/>
  <c r="R25" i="2"/>
  <c r="R26" i="2"/>
  <c r="R27" i="2"/>
  <c r="R28" i="2"/>
  <c r="R29" i="2"/>
  <c r="R30" i="2"/>
  <c r="R31" i="2"/>
  <c r="J17" i="2" l="1"/>
  <c r="J22" i="2" s="1"/>
  <c r="T20" i="2"/>
  <c r="T19" i="2"/>
  <c r="T18" i="2"/>
  <c r="P3" i="2" l="1"/>
  <c r="R32" i="2"/>
  <c r="R23" i="2"/>
  <c r="M14" i="2"/>
  <c r="M15" i="2"/>
  <c r="M16" i="2"/>
  <c r="M22" i="2"/>
  <c r="M33" i="2"/>
  <c r="M30" i="2"/>
  <c r="M31" i="2"/>
  <c r="M32" i="2"/>
  <c r="M28" i="2"/>
  <c r="M29" i="2"/>
  <c r="M26" i="2"/>
  <c r="M27" i="2"/>
  <c r="M25" i="2"/>
  <c r="M24" i="2"/>
  <c r="M23" i="2"/>
  <c r="N24" i="2"/>
  <c r="U10" i="2"/>
  <c r="U12" i="2"/>
  <c r="V15" i="2" l="1"/>
  <c r="V16" i="2" s="1"/>
  <c r="T15" i="2"/>
  <c r="K23" i="2"/>
  <c r="U11" i="2"/>
  <c r="U15" i="2" s="1"/>
  <c r="U16" i="2" l="1"/>
  <c r="U30" i="2" s="1"/>
  <c r="U18" i="2"/>
  <c r="U20" i="2"/>
  <c r="U19" i="2"/>
  <c r="T21" i="2"/>
  <c r="T16" i="2"/>
  <c r="V31" i="2"/>
  <c r="V30" i="2"/>
  <c r="K25" i="2"/>
  <c r="K34" i="2"/>
  <c r="K33" i="2"/>
  <c r="V22" i="2"/>
  <c r="I23" i="2"/>
  <c r="U21" i="2" l="1"/>
  <c r="U31" i="2"/>
  <c r="J23" i="2"/>
  <c r="K29" i="2"/>
  <c r="V25" i="2"/>
  <c r="V27" i="2"/>
  <c r="V28" i="2"/>
  <c r="V23" i="2"/>
  <c r="V26" i="2"/>
  <c r="V32" i="2"/>
  <c r="T31" i="2"/>
  <c r="T30" i="2"/>
  <c r="K28" i="2"/>
  <c r="K30" i="2"/>
  <c r="K35" i="2"/>
  <c r="K31" i="2"/>
  <c r="K26" i="2"/>
  <c r="I34" i="2"/>
  <c r="I33" i="2"/>
  <c r="J34" i="2" l="1"/>
  <c r="J33" i="2"/>
  <c r="V33" i="2"/>
  <c r="V34" i="2" s="1"/>
  <c r="K36" i="2"/>
  <c r="K37" i="2" s="1"/>
  <c r="K38" i="2" l="1"/>
  <c r="V35" i="2"/>
  <c r="V36" i="2" s="1"/>
  <c r="T22" i="2" l="1"/>
  <c r="T29" i="2" s="1"/>
  <c r="U22" i="2"/>
  <c r="U29" i="2" s="1"/>
  <c r="J24" i="2"/>
  <c r="J25" i="2" s="1"/>
  <c r="I25" i="2"/>
  <c r="J29" i="2" l="1"/>
  <c r="J26" i="2"/>
  <c r="I32" i="2"/>
  <c r="J32" i="2"/>
  <c r="U26" i="2"/>
  <c r="U27" i="2"/>
  <c r="U32" i="2"/>
  <c r="U25" i="2"/>
  <c r="U23" i="2"/>
  <c r="U28" i="2"/>
  <c r="T26" i="2"/>
  <c r="T27" i="2"/>
  <c r="T32" i="2"/>
  <c r="T23" i="2"/>
  <c r="T28" i="2"/>
  <c r="T25" i="2"/>
  <c r="I28" i="2"/>
  <c r="I29" i="2"/>
  <c r="I30" i="2"/>
  <c r="I31" i="2"/>
  <c r="I26" i="2"/>
  <c r="I35" i="2"/>
  <c r="J30" i="2"/>
  <c r="J35" i="2"/>
  <c r="J28" i="2"/>
  <c r="J31" i="2"/>
  <c r="T33" i="2" l="1"/>
  <c r="T34" i="2" s="1"/>
  <c r="U33" i="2"/>
  <c r="U34" i="2" s="1"/>
  <c r="I36" i="2"/>
  <c r="I37" i="2" s="1"/>
  <c r="J36" i="2"/>
  <c r="J37" i="2" s="1"/>
  <c r="J38" i="2" l="1"/>
  <c r="J39" i="2"/>
  <c r="T35" i="2"/>
  <c r="U35" i="2"/>
  <c r="U37" i="2" l="1"/>
  <c r="U3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Braeger, Christian</author>
    <author>Angelika Seydel</author>
  </authors>
  <commentList>
    <comment ref="E2" authorId="0" shapeId="0" xr:uid="{00000000-0006-0000-0100-000001000000}">
      <text>
        <r>
          <rPr>
            <sz val="9"/>
            <color indexed="81"/>
            <rFont val="Segoe UI"/>
            <family val="2"/>
          </rPr>
          <t xml:space="preserve">Alle blauen Felder bitte ausfüllen.
</t>
        </r>
      </text>
    </comment>
    <comment ref="C27" authorId="1" shapeId="0" xr:uid="{5DC2816C-CDE8-4328-8BBC-EB83FB5AA175}">
      <text>
        <r>
          <rPr>
            <b/>
            <sz val="9"/>
            <color indexed="81"/>
            <rFont val="Segoe UI"/>
            <family val="2"/>
          </rPr>
          <t>Pflichtfeld!</t>
        </r>
        <r>
          <rPr>
            <sz val="9"/>
            <color indexed="81"/>
            <rFont val="Segoe UI"/>
            <family val="2"/>
          </rPr>
          <t xml:space="preserve">
</t>
        </r>
      </text>
    </comment>
  </commentList>
</comments>
</file>

<file path=xl/sharedStrings.xml><?xml version="1.0" encoding="utf-8"?>
<sst xmlns="http://schemas.openxmlformats.org/spreadsheetml/2006/main" count="311" uniqueCount="297">
  <si>
    <r>
      <rPr>
        <b/>
        <u/>
        <sz val="10"/>
        <color theme="1"/>
        <rFont val="Arial"/>
        <family val="2"/>
      </rPr>
      <t>Anleitung zum Ausfüllen</t>
    </r>
    <r>
      <rPr>
        <sz val="10"/>
        <color theme="1"/>
        <rFont val="Arial"/>
        <family val="2"/>
      </rPr>
      <t xml:space="preserve">
1. Nur der linke Abschnitt der Vergleichsberechnung ist auszufüllen, es sei denn es erfolgt für den Mitarbeitenden ein unterjähriger Erfahrungsstufenaufstieg. In dem Fall müssen beide Abschnitte ausgefüllt werden. 
2. Nur die blau hinterlegten Zellen können ausgefüllt werden.
3. a)</t>
    </r>
    <r>
      <rPr>
        <b/>
        <sz val="10"/>
        <color theme="1"/>
        <rFont val="Arial"/>
        <family val="2"/>
      </rPr>
      <t xml:space="preserve"> Erfolgt kein unterjähriger Stufenaufstieg</t>
    </r>
    <r>
      <rPr>
        <sz val="10"/>
        <color theme="1"/>
        <rFont val="Arial"/>
        <family val="2"/>
      </rPr>
      <t xml:space="preserve">, tragen Sie in den linken Abschnitt in die blauen Zeilen 2 bis 8 die geforderten Informationen ein. In dem Dropdown-Menü Zeile 9 wählen Sie die Eingruppierung nach TV-L, in Zeile 11 geben Sie den auf den Tag genauen Tätigkeitszeitraum des Mitarbeitenden in Ihrem Projekt an und in Zeile 12 die wöchentliche Arbeitszeit. 
Tragen Sie nun in Zeile 27 die Krankenkasse des Mitarbeitenden und in Zeile 28 den Arbeitgeberanteil zum individuellen Beitrag der Krankenkasse in Prozent ein.
Falls Sie als Träger*in die Umlagen 1,2 oder 3 (Arbeitsunfähigkeit, Mutterschaft, Insolvenz) zahlen, tragen Sie in den Zeilen 33 - 35 den Prozentsatz ein.
Jetzt sehen Sie in der Spalte I die gegliederten Personalkosten, für die in Zeile 9 ausgewählte Eingruppierung nach TV-L bezogen auf eine Vollzeitstelle (39,4 h pro Woche). In der Spalte J sehen Sie die Personalkosten bezogen auf die in Zeile 12 ausgewählte wöchentliche Arbeitszeit. In die blauen Felder in Spalte K können Sie nun das von Ihnen gezahlte mtl. Entgelt bzw. falls zutreffend, Besitzstand, Zulagen, VWL und Jahressonderzahlung eintragen. Bedenken Sie, dass der von Ihnen eingetragene Wert keinesfalls höher als der Wert in Spalte J sein darf (=Besserstellungsverbot). In den Zeilen 37 und 38 sehen Sie nun die zulässigen Personalkosten per anno bzw. für den ausgewählten Tätigkeitsraum nach TV-L. Die Differenz in Zeile 39 zeigt an ob Sie über oder unter den zulässigen Kosten liegen.
3. b) </t>
    </r>
    <r>
      <rPr>
        <b/>
        <sz val="10"/>
        <color theme="1"/>
        <rFont val="Arial"/>
        <family val="2"/>
      </rPr>
      <t>Erfolgt ein unterjähriger Stufenaufstieg</t>
    </r>
    <r>
      <rPr>
        <sz val="10"/>
        <color theme="1"/>
        <rFont val="Arial"/>
        <family val="2"/>
      </rPr>
      <t xml:space="preserve">, sind neben dem linken Abschnitt auch die blauen Felder im rechten Abschnitt auszufüllen.
In diesem Fall wird der linke Abschnitt zum Tätigkeitszeitraum vor dem Stufenaufstieg und der rechte Abschnitt zum Tätigkeitsraum nach dem Stufenaufstieg. Passen Sie die Tätigkeitsräume im rechten und linken Abschnitt dementsprechend an.
Verfahren Sie bei den blauen Feldern im rechten Abschnitt wie zuvor im linken (s. 3. a). Das Formular wird Ihnen die gesamten Personalkosten am unteren Ende des linken Abschnitts anzeigen.
Hinweis: Ab Zeile 44 der Vergleichsberechnung sind die Textfelder ausschließlich für Bearbeitungszwecke der Bewilligungsstelle vorbehalten.
</t>
    </r>
    <r>
      <rPr>
        <b/>
        <u/>
        <sz val="10"/>
        <color theme="1"/>
        <rFont val="Arial"/>
        <family val="2"/>
      </rPr>
      <t xml:space="preserve">Anleitung zum Ausfüllen - Nachweis für unveränderte und ununterbrochene Tätigkeit aus Vorbeschäftigung
</t>
    </r>
    <r>
      <rPr>
        <sz val="10"/>
        <color theme="1"/>
        <rFont val="Arial"/>
        <family val="2"/>
      </rPr>
      <t xml:space="preserve">
1. Nur die blau hinterlegten Zellen können ausgefüllt werden.
2. Tragen Sie bitte in Spalte B den Arbeitgeber ein.
3. Geben Sie in Spalte C die Tätigkeit stichpunktartig ein.
4. Tragen Sie in Spalte D den Beginn der Tätigkeit ein und in Spalte E das Ende der Tätigkeit. 
5. Tragen Sie in Spalte F-I bitte das Arbeitsentgelt lt. Arbeitsvertrag ein. </t>
    </r>
  </si>
  <si>
    <t>Nachweis für unveränderte und ununterbrochene Tätigkeit aus Vorbeschäftigung:</t>
  </si>
  <si>
    <t>Lfd. 
Nr.</t>
  </si>
  <si>
    <t>Arbeitgeber</t>
  </si>
  <si>
    <r>
      <t xml:space="preserve">Tätigkeit
</t>
    </r>
    <r>
      <rPr>
        <sz val="10"/>
        <rFont val="Arial"/>
        <family val="2"/>
      </rPr>
      <t>(Info: Angabe nur stichpunktartig)</t>
    </r>
  </si>
  <si>
    <t>Beschäftigungszeitraum</t>
  </si>
  <si>
    <t>Arbeitsentgelt lt. Arbeitsvertrag 
analog od. in Anlehnung an:</t>
  </si>
  <si>
    <t>von</t>
  </si>
  <si>
    <t>bis</t>
  </si>
  <si>
    <r>
      <t xml:space="preserve">BAT </t>
    </r>
    <r>
      <rPr>
        <b/>
        <vertAlign val="superscript"/>
        <sz val="10"/>
        <rFont val="Arial"/>
        <family val="2"/>
      </rPr>
      <t>1)</t>
    </r>
  </si>
  <si>
    <r>
      <t xml:space="preserve">TVöD </t>
    </r>
    <r>
      <rPr>
        <b/>
        <vertAlign val="superscript"/>
        <sz val="10"/>
        <rFont val="Arial"/>
        <family val="2"/>
      </rPr>
      <t>1)</t>
    </r>
  </si>
  <si>
    <r>
      <t xml:space="preserve">TV-L </t>
    </r>
    <r>
      <rPr>
        <b/>
        <vertAlign val="superscript"/>
        <sz val="10"/>
        <rFont val="Arial"/>
        <family val="2"/>
      </rPr>
      <t>1)</t>
    </r>
  </si>
  <si>
    <r>
      <t xml:space="preserve">Sonstiges </t>
    </r>
    <r>
      <rPr>
        <b/>
        <vertAlign val="superscript"/>
        <sz val="10"/>
        <rFont val="Arial"/>
        <family val="2"/>
      </rPr>
      <t>2)</t>
    </r>
  </si>
  <si>
    <t>1)</t>
  </si>
  <si>
    <r>
      <t xml:space="preserve">Entgeltgruppe </t>
    </r>
    <r>
      <rPr>
        <u/>
        <sz val="9"/>
        <color theme="1"/>
        <rFont val="Arial"/>
        <family val="2"/>
      </rPr>
      <t>und</t>
    </r>
    <r>
      <rPr>
        <sz val="9"/>
        <color theme="1"/>
        <rFont val="Arial"/>
        <family val="2"/>
      </rPr>
      <t xml:space="preserve"> dazugehörige Stufe gem. TV-L</t>
    </r>
  </si>
  <si>
    <t>2)</t>
  </si>
  <si>
    <t>Haustarif mit Gewerkschaft/hauseigenes Tarifwerk/einzelvertragliche Regelung/tarifgebunden</t>
  </si>
  <si>
    <t>ausgestellt am:</t>
  </si>
  <si>
    <t>Name Ersteller*in</t>
  </si>
  <si>
    <t>Unterschrift Ersteller*in</t>
  </si>
  <si>
    <t xml:space="preserve">Vergleichsberechnung nach TV-L </t>
  </si>
  <si>
    <r>
      <t xml:space="preserve">Stufenaufstieg nach TV-L 
</t>
    </r>
    <r>
      <rPr>
        <sz val="11"/>
        <rFont val="Arial"/>
        <family val="2"/>
      </rPr>
      <t>(nur zusätzlich auszufüllen bei unterjährigem Erfahrungsstufenaufstieg!)</t>
    </r>
  </si>
  <si>
    <t>Träger</t>
  </si>
  <si>
    <t>Sprung in Erfahrungsstufe:</t>
  </si>
  <si>
    <t>S11b/2</t>
  </si>
  <si>
    <t>Dokument zum Antrag vom</t>
  </si>
  <si>
    <t>Monate im Projekt (inkl. 2 Dezimalstellen)</t>
  </si>
  <si>
    <t>Projektnummer</t>
  </si>
  <si>
    <t>Tätigkeitszeitraum im Projekt von:</t>
  </si>
  <si>
    <t>bis:</t>
  </si>
  <si>
    <t>Name / Vorname</t>
  </si>
  <si>
    <t>wöchentliche AZ lt. AV:</t>
  </si>
  <si>
    <t>Std.</t>
  </si>
  <si>
    <t>Vollzeitstelle entspricht 39,4 Stunden</t>
  </si>
  <si>
    <t>Qualifikation / Berufsabschluss</t>
  </si>
  <si>
    <r>
      <t xml:space="preserve">TV-L 
</t>
    </r>
    <r>
      <rPr>
        <sz val="8"/>
        <rFont val="Arial"/>
        <family val="2"/>
      </rPr>
      <t>lt. Tabellenwert bezogen auf eine ganze Stelle (39,4 Std.)</t>
    </r>
  </si>
  <si>
    <r>
      <t xml:space="preserve">TV-L 
</t>
    </r>
    <r>
      <rPr>
        <sz val="8"/>
        <rFont val="Arial"/>
        <family val="2"/>
      </rPr>
      <t>rechnet automatisch auf die angegebene wöchentliche Arbeitszeit um</t>
    </r>
  </si>
  <si>
    <t>lt. Arbeitsvertrag</t>
  </si>
  <si>
    <t>Tätigkeit beim Träger</t>
  </si>
  <si>
    <t>seit:</t>
  </si>
  <si>
    <t>abweichende Projekttätigkeit</t>
  </si>
  <si>
    <t>Eingruppierung der Stelle in den TV-L:</t>
  </si>
  <si>
    <t>Berechungsgrundlage Jahressonderzahlung</t>
  </si>
  <si>
    <t>AN-Brutto Monat Juli</t>
  </si>
  <si>
    <t>Zulage SuE (aus der S-Tabelle)</t>
  </si>
  <si>
    <t>AN-Brutto Monat August</t>
  </si>
  <si>
    <r>
      <t xml:space="preserve">Besitzstand, Zulagen </t>
    </r>
    <r>
      <rPr>
        <sz val="9"/>
        <rFont val="Arial"/>
        <family val="2"/>
      </rPr>
      <t>(Bitte in einer Anlage erläutern)</t>
    </r>
  </si>
  <si>
    <t>AN-Brutto Monat September</t>
  </si>
  <si>
    <r>
      <t>ggf. VWL (§ 23 TV-L) *</t>
    </r>
    <r>
      <rPr>
        <sz val="9"/>
        <rFont val="Arial"/>
        <family val="2"/>
      </rPr>
      <t>1</t>
    </r>
  </si>
  <si>
    <t>Jahressonderzahlung (auf Basis Ø AN-Brutto Jul/Aug/Sept)</t>
  </si>
  <si>
    <t>Arbeitnehmerbruttogehalt ohne Jahressonderzahlung</t>
  </si>
  <si>
    <t>Jahressonderzahlung nach Beschäftigungszeitraum</t>
  </si>
  <si>
    <t>Arbeitnehmerbruttogehalt inkl. Jahressonderzahlung</t>
  </si>
  <si>
    <t>AG-Anteil zur Krankenversicherung in Prozent</t>
  </si>
  <si>
    <t>Bezeichnung Krankenkasse</t>
  </si>
  <si>
    <t>Techniker Krankenkasse</t>
  </si>
  <si>
    <t>AG-Anteil zur KK individueller Beitragssatz in Prozent</t>
  </si>
  <si>
    <t>AG-Anteil zur Rentenversicherung in Prozent</t>
  </si>
  <si>
    <t>AG-Anteil zur Arbeitslosenversicherung in Prozent</t>
  </si>
  <si>
    <t>AG-Anteil zur Pflegeversicherung in Prozent</t>
  </si>
  <si>
    <t>Förderfähige AG-Vorsorgezahlungen (optional)</t>
  </si>
  <si>
    <t>Umlage 1 (Arbeitsunfähigkeit)</t>
  </si>
  <si>
    <t>Umlage 2 (Mutterschaft)</t>
  </si>
  <si>
    <t>Personalkosten nach TV-L / Tätigkeitszeitraum</t>
  </si>
  <si>
    <t>Umlage 3 (Insolvenz)</t>
  </si>
  <si>
    <t>Personalkosten Gesamt / Tätigkeitszeitraum (inkl. vorherige Stufe)</t>
  </si>
  <si>
    <t>Arbeitgeber-SV gesamt</t>
  </si>
  <si>
    <t>Ø monatliches Arbeitgeber-Brutto gesamt</t>
  </si>
  <si>
    <t>Differenz:</t>
  </si>
  <si>
    <r>
      <t xml:space="preserve">Bemerkungen </t>
    </r>
    <r>
      <rPr>
        <sz val="9"/>
        <rFont val="Arial"/>
        <family val="2"/>
      </rPr>
      <t>(430 Zeichen)</t>
    </r>
  </si>
  <si>
    <t>*ohne soz.-versicherungsfreie (Einmal)zahlungen</t>
  </si>
  <si>
    <r>
      <t>*</t>
    </r>
    <r>
      <rPr>
        <b/>
        <vertAlign val="superscript"/>
        <sz val="9"/>
        <rFont val="Arial"/>
        <family val="2"/>
      </rPr>
      <t>1</t>
    </r>
    <r>
      <rPr>
        <b/>
        <sz val="9"/>
        <rFont val="Arial"/>
        <family val="2"/>
      </rPr>
      <t xml:space="preserve"> VWL </t>
    </r>
    <r>
      <rPr>
        <b/>
        <sz val="10"/>
        <rFont val="Arial"/>
        <family val="2"/>
      </rPr>
      <t xml:space="preserve">  (§ 23 TV-L) sind kein Entgeltbestandteil und daher separat zu betrachten  </t>
    </r>
  </si>
  <si>
    <t>ewqtr</t>
  </si>
  <si>
    <t>ausgefüllt am</t>
  </si>
  <si>
    <t xml:space="preserve">Name Bearbeiter*in Zuwendungempfänger </t>
  </si>
  <si>
    <t xml:space="preserve">Unterschrift Bearbeiter*in Zuwendungempfänger </t>
  </si>
  <si>
    <r>
      <t xml:space="preserve">Folgende Zeilen sind nur durch die </t>
    </r>
    <r>
      <rPr>
        <b/>
        <u/>
        <sz val="10"/>
        <rFont val="Arial"/>
        <family val="2"/>
      </rPr>
      <t>Bewilligungsstelle</t>
    </r>
    <r>
      <rPr>
        <u/>
        <sz val="10"/>
        <rFont val="Arial"/>
        <family val="2"/>
      </rPr>
      <t xml:space="preserve"> auszufüllen:</t>
    </r>
  </si>
  <si>
    <t>Bemerkungen:</t>
  </si>
  <si>
    <t>Die Eingruppierung der Stelle wird als angemessen bewertet.</t>
  </si>
  <si>
    <t>Der Einstufung in die Erfahrungsstufe wird zugestimmt.</t>
  </si>
  <si>
    <t>Das Besserstellungsverbot wird eingehalten.</t>
  </si>
  <si>
    <t>ausgestellt am</t>
  </si>
  <si>
    <t>Name Bearbeiter*in</t>
  </si>
  <si>
    <t>Unterschrift Bearbeiter*in</t>
  </si>
  <si>
    <t>Bitte auswählen:</t>
  </si>
  <si>
    <t>E15Ü/1</t>
  </si>
  <si>
    <t>E15Ü/2</t>
  </si>
  <si>
    <t>E15Ü/3</t>
  </si>
  <si>
    <t>E15Ü/4</t>
  </si>
  <si>
    <t>E15Ü/5</t>
  </si>
  <si>
    <t>E15/1</t>
  </si>
  <si>
    <t>E15/2</t>
  </si>
  <si>
    <t>E15/3</t>
  </si>
  <si>
    <t>E15/4</t>
  </si>
  <si>
    <t>E15/5</t>
  </si>
  <si>
    <t>E15/6</t>
  </si>
  <si>
    <t>E14/1</t>
  </si>
  <si>
    <t>E14/2</t>
  </si>
  <si>
    <t>E14/3</t>
  </si>
  <si>
    <t>E14/4</t>
  </si>
  <si>
    <t>E14/5</t>
  </si>
  <si>
    <t>E14/6</t>
  </si>
  <si>
    <t>E13Ü/2</t>
  </si>
  <si>
    <t>E13Ü/3</t>
  </si>
  <si>
    <t>E13Ü/4</t>
  </si>
  <si>
    <t>E13Ü/5</t>
  </si>
  <si>
    <t>E13Ü/6</t>
  </si>
  <si>
    <t>E13/1</t>
  </si>
  <si>
    <t>E13/2</t>
  </si>
  <si>
    <t>E13/3</t>
  </si>
  <si>
    <t>E13/4</t>
  </si>
  <si>
    <t>E13/5</t>
  </si>
  <si>
    <t>E13/6</t>
  </si>
  <si>
    <t>E12/1</t>
  </si>
  <si>
    <t>E12/2</t>
  </si>
  <si>
    <t>E12/3</t>
  </si>
  <si>
    <t>E12/4</t>
  </si>
  <si>
    <t>E12/5</t>
  </si>
  <si>
    <t>E12/6</t>
  </si>
  <si>
    <t>E11/1</t>
  </si>
  <si>
    <t>E11/2</t>
  </si>
  <si>
    <t>E11/3</t>
  </si>
  <si>
    <t>E11/4</t>
  </si>
  <si>
    <t>E11/5</t>
  </si>
  <si>
    <t>E11/6</t>
  </si>
  <si>
    <t>E10/1</t>
  </si>
  <si>
    <t>E10/2</t>
  </si>
  <si>
    <t>E10/3</t>
  </si>
  <si>
    <t>E10/4</t>
  </si>
  <si>
    <t>E10/5</t>
  </si>
  <si>
    <t>E10/6</t>
  </si>
  <si>
    <t>E9b/1</t>
  </si>
  <si>
    <t>E9b/2</t>
  </si>
  <si>
    <t>E9b/3</t>
  </si>
  <si>
    <t>E9b/4</t>
  </si>
  <si>
    <t>E9b/5</t>
  </si>
  <si>
    <t>E9b/6</t>
  </si>
  <si>
    <t>E9a/1</t>
  </si>
  <si>
    <t>E9a/2</t>
  </si>
  <si>
    <t>E9a/3</t>
  </si>
  <si>
    <t>E9a/4</t>
  </si>
  <si>
    <t>E9a/5</t>
  </si>
  <si>
    <t>E9a/6</t>
  </si>
  <si>
    <t>E8/1</t>
  </si>
  <si>
    <t>E8/2</t>
  </si>
  <si>
    <t>E8/3</t>
  </si>
  <si>
    <t>E8/4</t>
  </si>
  <si>
    <t>E8/5</t>
  </si>
  <si>
    <t>E8/6</t>
  </si>
  <si>
    <t>E7/1</t>
  </si>
  <si>
    <t>E7/2</t>
  </si>
  <si>
    <t>E7/3</t>
  </si>
  <si>
    <t>E7/4</t>
  </si>
  <si>
    <t>E7/5</t>
  </si>
  <si>
    <t>E7/6</t>
  </si>
  <si>
    <t>E6/1</t>
  </si>
  <si>
    <t>E6/2</t>
  </si>
  <si>
    <t>E6/3</t>
  </si>
  <si>
    <t>E6/4</t>
  </si>
  <si>
    <t>E6/5</t>
  </si>
  <si>
    <t>E6/6</t>
  </si>
  <si>
    <t>E5/1</t>
  </si>
  <si>
    <t>E5/2</t>
  </si>
  <si>
    <t>E5/3</t>
  </si>
  <si>
    <t>E5/4</t>
  </si>
  <si>
    <t>E5/5</t>
  </si>
  <si>
    <t>E5/6</t>
  </si>
  <si>
    <t>E4/1</t>
  </si>
  <si>
    <t>E4/2</t>
  </si>
  <si>
    <t>E4/3</t>
  </si>
  <si>
    <t>E4/4</t>
  </si>
  <si>
    <t>E4/5</t>
  </si>
  <si>
    <t>E4/6</t>
  </si>
  <si>
    <t>E3/1</t>
  </si>
  <si>
    <t>E3/2</t>
  </si>
  <si>
    <t>E3/3</t>
  </si>
  <si>
    <t>E3/4</t>
  </si>
  <si>
    <t>E3/5</t>
  </si>
  <si>
    <t>E3/6</t>
  </si>
  <si>
    <t>E2Ü/1</t>
  </si>
  <si>
    <t>E2Ü/2</t>
  </si>
  <si>
    <t>E2Ü/3</t>
  </si>
  <si>
    <t>E2Ü/4</t>
  </si>
  <si>
    <t>E2Ü/5</t>
  </si>
  <si>
    <t>E2Ü/6</t>
  </si>
  <si>
    <t>E2/1</t>
  </si>
  <si>
    <t>E2/2</t>
  </si>
  <si>
    <t>E2/3</t>
  </si>
  <si>
    <t>E2/4</t>
  </si>
  <si>
    <t>E2/5</t>
  </si>
  <si>
    <t>E2/6</t>
  </si>
  <si>
    <t>E1/2</t>
  </si>
  <si>
    <t>E1/3</t>
  </si>
  <si>
    <t>E1/4</t>
  </si>
  <si>
    <t>E1/5</t>
  </si>
  <si>
    <t>E1/6</t>
  </si>
  <si>
    <t>S18/1</t>
  </si>
  <si>
    <t>S18/2</t>
  </si>
  <si>
    <t>S18/3</t>
  </si>
  <si>
    <t>S18/4</t>
  </si>
  <si>
    <t>S18/5</t>
  </si>
  <si>
    <t>S18/6</t>
  </si>
  <si>
    <t>S17/1</t>
  </si>
  <si>
    <t>S17/2</t>
  </si>
  <si>
    <t>S17/3</t>
  </si>
  <si>
    <t>S17/4</t>
  </si>
  <si>
    <t>S17/5</t>
  </si>
  <si>
    <t>S17/6</t>
  </si>
  <si>
    <t>S16/1</t>
  </si>
  <si>
    <t>S16/2</t>
  </si>
  <si>
    <t>S16/3</t>
  </si>
  <si>
    <t>S16/4</t>
  </si>
  <si>
    <t>S16/5</t>
  </si>
  <si>
    <t>S16/6</t>
  </si>
  <si>
    <t>S15/1</t>
  </si>
  <si>
    <t>S15/2</t>
  </si>
  <si>
    <t>S15/3</t>
  </si>
  <si>
    <t>S15/4</t>
  </si>
  <si>
    <t>S15/5</t>
  </si>
  <si>
    <t>S15/6</t>
  </si>
  <si>
    <t>S14/1</t>
  </si>
  <si>
    <t>S14/2</t>
  </si>
  <si>
    <t>S14/3</t>
  </si>
  <si>
    <t>S14/4</t>
  </si>
  <si>
    <t>S14/5</t>
  </si>
  <si>
    <t>S14/6</t>
  </si>
  <si>
    <t>S13/1</t>
  </si>
  <si>
    <t>S13/2</t>
  </si>
  <si>
    <t>S13/3</t>
  </si>
  <si>
    <t>S13/4</t>
  </si>
  <si>
    <t>S13/5</t>
  </si>
  <si>
    <t>S13/6</t>
  </si>
  <si>
    <t>S12/1</t>
  </si>
  <si>
    <t>S12/2</t>
  </si>
  <si>
    <t>S12/3</t>
  </si>
  <si>
    <t>S12/4</t>
  </si>
  <si>
    <t>S12/5</t>
  </si>
  <si>
    <t>S12/6</t>
  </si>
  <si>
    <t>S11b/1</t>
  </si>
  <si>
    <t>S11b/3</t>
  </si>
  <si>
    <t>S11b/4</t>
  </si>
  <si>
    <t>S11b/5</t>
  </si>
  <si>
    <t>S11b/6</t>
  </si>
  <si>
    <t>S11a/1</t>
  </si>
  <si>
    <t>S11a/2</t>
  </si>
  <si>
    <t>S11a/3</t>
  </si>
  <si>
    <t>S11a/4</t>
  </si>
  <si>
    <t>S11a/5</t>
  </si>
  <si>
    <t>S11a/6</t>
  </si>
  <si>
    <t>S9/1</t>
  </si>
  <si>
    <t>S9/2</t>
  </si>
  <si>
    <t>S9/3</t>
  </si>
  <si>
    <t>S9/4</t>
  </si>
  <si>
    <t>S9/5</t>
  </si>
  <si>
    <t>S9/6</t>
  </si>
  <si>
    <t>S8b/1</t>
  </si>
  <si>
    <t>S8b/2</t>
  </si>
  <si>
    <t>S8b/3</t>
  </si>
  <si>
    <t>S8b/4</t>
  </si>
  <si>
    <t>S8b/5</t>
  </si>
  <si>
    <t>S8b/6</t>
  </si>
  <si>
    <t>S8a/1</t>
  </si>
  <si>
    <t>S8a/2</t>
  </si>
  <si>
    <t>S8a/3</t>
  </si>
  <si>
    <t>S8a/4</t>
  </si>
  <si>
    <t>S8a/5</t>
  </si>
  <si>
    <t>S8a/6</t>
  </si>
  <si>
    <t>S7/1</t>
  </si>
  <si>
    <t>S7/2</t>
  </si>
  <si>
    <t>S7/3</t>
  </si>
  <si>
    <t>S7/4</t>
  </si>
  <si>
    <t>S7/5</t>
  </si>
  <si>
    <t>S7/6</t>
  </si>
  <si>
    <t>S4/1</t>
  </si>
  <si>
    <t>S4/2</t>
  </si>
  <si>
    <t>S4/3</t>
  </si>
  <si>
    <t>S4/4</t>
  </si>
  <si>
    <t>S4/5</t>
  </si>
  <si>
    <t>S4/6</t>
  </si>
  <si>
    <t>S3/1</t>
  </si>
  <si>
    <t>S3/2</t>
  </si>
  <si>
    <t>S3/3</t>
  </si>
  <si>
    <t>S3/4</t>
  </si>
  <si>
    <t>S3/5</t>
  </si>
  <si>
    <t>S3/6</t>
  </si>
  <si>
    <t>S2/1</t>
  </si>
  <si>
    <t>S2/2</t>
  </si>
  <si>
    <t>S2/3</t>
  </si>
  <si>
    <t>S2/4</t>
  </si>
  <si>
    <t>S2/5</t>
  </si>
  <si>
    <t>S2/6</t>
  </si>
  <si>
    <t>Ø mtl. AN-Brutto ges. (ohne Berücksichtigung der VWL-Zulage)</t>
  </si>
  <si>
    <t>ab März 2027</t>
  </si>
  <si>
    <r>
      <t xml:space="preserve">mtl. Tabellenentgelt </t>
    </r>
    <r>
      <rPr>
        <b/>
        <sz val="10"/>
        <color theme="1"/>
        <rFont val="Arial"/>
        <family val="2"/>
      </rPr>
      <t>Januar bis Februar</t>
    </r>
  </si>
  <si>
    <r>
      <t>mtl. Tabellenentgelt</t>
    </r>
    <r>
      <rPr>
        <b/>
        <sz val="10"/>
        <color theme="1"/>
        <rFont val="Arial"/>
        <family val="2"/>
      </rPr>
      <t xml:space="preserve"> ab März</t>
    </r>
  </si>
  <si>
    <r>
      <t>mtl. Tabellenentgelt</t>
    </r>
    <r>
      <rPr>
        <b/>
        <sz val="10"/>
        <color theme="1"/>
        <rFont val="Arial"/>
        <family val="2"/>
      </rPr>
      <t xml:space="preserve"> Januar bis Februar</t>
    </r>
  </si>
  <si>
    <r>
      <t xml:space="preserve">mtl. Tabellenentgelt </t>
    </r>
    <r>
      <rPr>
        <b/>
        <sz val="10"/>
        <color theme="1"/>
        <rFont val="Arial"/>
        <family val="2"/>
      </rPr>
      <t>ab März</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</si>
</sst>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0.00\ &quot;€&quot;_-;\-* #,##0.00\ &quot;€&quot;_-;_-* &quot;-&quot;??\ &quot;€&quot;_-;_-@_-"/>
    <numFmt numFmtId="164" formatCode="[$-F800]dddd\,\ mmmm\ dd\,\ yyyy"/>
    <numFmt numFmtId="165" formatCode="#,##0.00\ &quot;€&quot;"/>
    <numFmt numFmtId="166" formatCode="_-* #,##0.00\ [$€-407]_-;\-* #,##0.00\ [$€-407]_-;_-* &quot;-&quot;??\ [$€-407]_-;_-@_-"/>
    <numFmt numFmtId="167" formatCode=";;;"/>
  </numFmts>
  <fonts count="33" x14ac:knownFonts="1">
    <font>
      <sz val="11"/>
      <color theme="1"/>
      <name val="Calibri"/>
      <family val="2"/>
      <scheme val="minor"/>
    </font>
    <font>
      <sz val="11"/>
      <color theme="1"/>
      <name val="Calibri"/>
      <family val="2"/>
      <scheme val="minor"/>
    </font>
    <font>
      <b/>
      <sz val="12"/>
      <name val="Arial"/>
      <family val="2"/>
    </font>
    <font>
      <sz val="10"/>
      <name val="Arial"/>
      <family val="2"/>
    </font>
    <font>
      <b/>
      <sz val="10"/>
      <name val="Arial"/>
      <family val="2"/>
    </font>
    <font>
      <sz val="10"/>
      <color theme="0"/>
      <name val="Arial"/>
      <family val="2"/>
    </font>
    <font>
      <sz val="9"/>
      <name val="Arial"/>
      <family val="2"/>
    </font>
    <font>
      <sz val="9"/>
      <color theme="0"/>
      <name val="Arial"/>
      <family val="2"/>
    </font>
    <font>
      <sz val="9"/>
      <color rgb="FFFF0000"/>
      <name val="Arial"/>
      <family val="2"/>
    </font>
    <font>
      <u/>
      <sz val="10"/>
      <color theme="10"/>
      <name val="Arial"/>
      <family val="2"/>
    </font>
    <font>
      <sz val="10"/>
      <color rgb="FFFF0000"/>
      <name val="Arial"/>
      <family val="2"/>
    </font>
    <font>
      <sz val="8"/>
      <name val="Arial"/>
      <family val="2"/>
    </font>
    <font>
      <sz val="9"/>
      <color indexed="81"/>
      <name val="Segoe UI"/>
      <family val="2"/>
    </font>
    <font>
      <sz val="10"/>
      <color theme="1"/>
      <name val="Arial"/>
      <family val="2"/>
    </font>
    <font>
      <b/>
      <u/>
      <sz val="10"/>
      <color theme="1"/>
      <name val="Arial"/>
      <family val="2"/>
    </font>
    <font>
      <b/>
      <sz val="10"/>
      <color theme="1"/>
      <name val="Arial"/>
      <family val="2"/>
    </font>
    <font>
      <b/>
      <vertAlign val="superscript"/>
      <sz val="10"/>
      <name val="Arial"/>
      <family val="2"/>
    </font>
    <font>
      <vertAlign val="superscript"/>
      <sz val="9"/>
      <name val="Arial"/>
      <family val="2"/>
    </font>
    <font>
      <sz val="9"/>
      <color theme="1"/>
      <name val="Arial"/>
      <family val="2"/>
    </font>
    <font>
      <u/>
      <sz val="9"/>
      <color theme="1"/>
      <name val="Arial"/>
      <family val="2"/>
    </font>
    <font>
      <sz val="8"/>
      <color theme="1"/>
      <name val="Arial"/>
      <family val="2"/>
    </font>
    <font>
      <sz val="11"/>
      <color theme="1"/>
      <name val="Arial"/>
      <family val="2"/>
    </font>
    <font>
      <u/>
      <sz val="10"/>
      <name val="Arial"/>
      <family val="2"/>
    </font>
    <font>
      <sz val="8.5"/>
      <color theme="1"/>
      <name val="Arial"/>
      <family val="2"/>
    </font>
    <font>
      <sz val="8.5"/>
      <color theme="1"/>
      <name val="Calibri"/>
      <family val="2"/>
      <scheme val="minor"/>
    </font>
    <font>
      <sz val="11"/>
      <name val="Arial"/>
      <family val="2"/>
    </font>
    <font>
      <b/>
      <sz val="9"/>
      <name val="Arial"/>
      <family val="2"/>
    </font>
    <font>
      <b/>
      <u/>
      <sz val="10"/>
      <name val="Arial"/>
      <family val="2"/>
    </font>
    <font>
      <sz val="8"/>
      <color theme="1"/>
      <name val="Calibri"/>
      <family val="2"/>
      <scheme val="minor"/>
    </font>
    <font>
      <b/>
      <sz val="9"/>
      <color indexed="81"/>
      <name val="Segoe UI"/>
      <family val="2"/>
    </font>
    <font>
      <sz val="11"/>
      <name val="Calibri"/>
      <family val="2"/>
      <scheme val="minor"/>
    </font>
    <font>
      <b/>
      <vertAlign val="superscript"/>
      <sz val="9"/>
      <name val="Arial"/>
      <family val="2"/>
    </font>
    <font>
      <sz val="8"/>
      <color rgb="FF000000"/>
      <name val="Segoe UI"/>
      <family val="2"/>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0" tint="-4.9989318521683403E-2"/>
        <bgColor indexed="64"/>
      </patternFill>
    </fill>
  </fills>
  <borders count="50">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top/>
      <bottom/>
      <diagonal/>
    </border>
    <border>
      <left style="thin">
        <color indexed="64"/>
      </left>
      <right style="medium">
        <color indexed="64"/>
      </right>
      <top/>
      <bottom/>
      <diagonal/>
    </border>
  </borders>
  <cellStyleXfs count="5">
    <xf numFmtId="0" fontId="0" fillId="0" borderId="0"/>
    <xf numFmtId="44" fontId="1" fillId="0" borderId="0" applyFont="0" applyFill="0" applyBorder="0" applyAlignment="0" applyProtection="0"/>
    <xf numFmtId="0" fontId="9" fillId="0" borderId="0" applyNumberFormat="0" applyFill="0" applyBorder="0" applyAlignment="0" applyProtection="0"/>
    <xf numFmtId="0" fontId="1" fillId="0" borderId="0"/>
    <xf numFmtId="9" fontId="1" fillId="0" borderId="0" applyFont="0" applyFill="0" applyBorder="0" applyAlignment="0" applyProtection="0"/>
  </cellStyleXfs>
  <cellXfs count="284">
    <xf numFmtId="0" fontId="0" fillId="0" borderId="0" xfId="0"/>
    <xf numFmtId="44" fontId="3" fillId="0" borderId="5" xfId="1" applyFont="1" applyFill="1" applyBorder="1" applyAlignment="1" applyProtection="1">
      <alignment vertical="center"/>
      <protection hidden="1"/>
    </xf>
    <xf numFmtId="0" fontId="3" fillId="0" borderId="0" xfId="0" applyFont="1" applyAlignment="1" applyProtection="1">
      <alignment vertical="center"/>
      <protection hidden="1"/>
    </xf>
    <xf numFmtId="0" fontId="8" fillId="0" borderId="0" xfId="0" applyFont="1" applyAlignment="1" applyProtection="1">
      <alignment vertical="center"/>
      <protection hidden="1"/>
    </xf>
    <xf numFmtId="0" fontId="6" fillId="0" borderId="0" xfId="0" applyFont="1" applyAlignment="1" applyProtection="1">
      <alignment vertical="center"/>
      <protection hidden="1"/>
    </xf>
    <xf numFmtId="44" fontId="3" fillId="0" borderId="4" xfId="1" applyFont="1" applyFill="1" applyBorder="1" applyAlignment="1" applyProtection="1">
      <alignment vertical="center"/>
      <protection hidden="1"/>
    </xf>
    <xf numFmtId="44" fontId="3" fillId="0" borderId="9" xfId="1" applyFont="1" applyFill="1" applyBorder="1" applyAlignment="1" applyProtection="1">
      <alignment vertical="center"/>
      <protection hidden="1"/>
    </xf>
    <xf numFmtId="44" fontId="3" fillId="0" borderId="8" xfId="1" applyFont="1" applyFill="1" applyBorder="1" applyAlignment="1" applyProtection="1">
      <alignment vertical="center"/>
      <protection hidden="1"/>
    </xf>
    <xf numFmtId="44" fontId="3" fillId="0" borderId="13" xfId="1" applyFont="1" applyFill="1" applyBorder="1" applyAlignment="1" applyProtection="1">
      <alignment vertical="center"/>
      <protection hidden="1"/>
    </xf>
    <xf numFmtId="0" fontId="0" fillId="0" borderId="0" xfId="0" applyProtection="1">
      <protection hidden="1"/>
    </xf>
    <xf numFmtId="44" fontId="0" fillId="0" borderId="0" xfId="0" applyNumberFormat="1" applyProtection="1">
      <protection hidden="1"/>
    </xf>
    <xf numFmtId="0" fontId="2" fillId="0" borderId="0" xfId="0" applyFont="1" applyAlignment="1" applyProtection="1">
      <alignment horizontal="left" vertical="center"/>
      <protection hidden="1"/>
    </xf>
    <xf numFmtId="164" fontId="0" fillId="0" borderId="0" xfId="0" applyNumberFormat="1" applyProtection="1">
      <protection hidden="1"/>
    </xf>
    <xf numFmtId="49" fontId="3" fillId="0" borderId="0" xfId="0" applyNumberFormat="1" applyFont="1" applyProtection="1">
      <protection hidden="1"/>
    </xf>
    <xf numFmtId="17" fontId="0" fillId="0" borderId="0" xfId="0" applyNumberFormat="1" applyProtection="1">
      <protection hidden="1"/>
    </xf>
    <xf numFmtId="2" fontId="0" fillId="0" borderId="0" xfId="0" applyNumberFormat="1" applyProtection="1">
      <protection hidden="1"/>
    </xf>
    <xf numFmtId="44" fontId="3" fillId="4" borderId="5" xfId="1" applyFont="1" applyFill="1" applyBorder="1" applyAlignment="1" applyProtection="1">
      <alignment vertical="center"/>
      <protection hidden="1"/>
    </xf>
    <xf numFmtId="44" fontId="3" fillId="4" borderId="8" xfId="1" applyFont="1" applyFill="1" applyBorder="1" applyAlignment="1" applyProtection="1">
      <alignment vertical="center"/>
      <protection hidden="1"/>
    </xf>
    <xf numFmtId="44" fontId="3" fillId="4" borderId="9" xfId="1" applyFont="1" applyFill="1" applyBorder="1" applyAlignment="1" applyProtection="1">
      <alignment vertical="center"/>
      <protection hidden="1"/>
    </xf>
    <xf numFmtId="165" fontId="0" fillId="0" borderId="0" xfId="0" applyNumberFormat="1" applyProtection="1">
      <protection hidden="1"/>
    </xf>
    <xf numFmtId="10" fontId="0" fillId="0" borderId="0" xfId="4" applyNumberFormat="1" applyFont="1" applyProtection="1">
      <protection hidden="1"/>
    </xf>
    <xf numFmtId="44" fontId="4" fillId="0" borderId="0" xfId="1" applyFont="1" applyBorder="1" applyAlignment="1" applyProtection="1">
      <alignment horizontal="center" vertical="center"/>
      <protection hidden="1"/>
    </xf>
    <xf numFmtId="44" fontId="3" fillId="0" borderId="27" xfId="1" applyFont="1" applyFill="1" applyBorder="1" applyAlignment="1" applyProtection="1">
      <alignment vertical="center"/>
      <protection hidden="1"/>
    </xf>
    <xf numFmtId="44" fontId="3" fillId="4" borderId="28" xfId="1" applyFont="1" applyFill="1" applyBorder="1" applyAlignment="1" applyProtection="1">
      <alignment vertical="center"/>
      <protection hidden="1"/>
    </xf>
    <xf numFmtId="14" fontId="0" fillId="0" borderId="0" xfId="0" applyNumberFormat="1" applyProtection="1">
      <protection hidden="1"/>
    </xf>
    <xf numFmtId="166" fontId="0" fillId="0" borderId="0" xfId="0" applyNumberFormat="1" applyProtection="1">
      <protection hidden="1"/>
    </xf>
    <xf numFmtId="10" fontId="0" fillId="0" borderId="0" xfId="0" applyNumberFormat="1" applyProtection="1">
      <protection hidden="1"/>
    </xf>
    <xf numFmtId="44" fontId="3" fillId="2" borderId="5" xfId="1" applyFont="1" applyFill="1" applyBorder="1" applyAlignment="1" applyProtection="1">
      <alignment vertical="center"/>
      <protection locked="0"/>
    </xf>
    <xf numFmtId="14" fontId="3" fillId="2" borderId="9" xfId="2" applyNumberFormat="1" applyFont="1" applyFill="1" applyBorder="1" applyAlignment="1" applyProtection="1">
      <alignment horizontal="left" vertical="center" wrapText="1"/>
      <protection locked="0"/>
    </xf>
    <xf numFmtId="44" fontId="3" fillId="2" borderId="9" xfId="1" applyFont="1" applyFill="1" applyBorder="1" applyAlignment="1" applyProtection="1">
      <alignment vertical="center"/>
      <protection locked="0"/>
    </xf>
    <xf numFmtId="0" fontId="10" fillId="0" borderId="0" xfId="0" applyFont="1" applyAlignment="1" applyProtection="1">
      <alignment vertical="center"/>
      <protection hidden="1"/>
    </xf>
    <xf numFmtId="0" fontId="5" fillId="0" borderId="0" xfId="0" applyFont="1" applyAlignment="1" applyProtection="1">
      <alignment vertical="center"/>
      <protection hidden="1"/>
    </xf>
    <xf numFmtId="0" fontId="2" fillId="0" borderId="3" xfId="0" applyFont="1" applyBorder="1" applyAlignment="1" applyProtection="1">
      <alignment vertical="center"/>
      <protection hidden="1"/>
    </xf>
    <xf numFmtId="0" fontId="2" fillId="0" borderId="4" xfId="0" applyFont="1" applyBorder="1" applyAlignment="1" applyProtection="1">
      <alignment vertical="center"/>
      <protection hidden="1"/>
    </xf>
    <xf numFmtId="0" fontId="2" fillId="0" borderId="3" xfId="0" applyFont="1" applyBorder="1" applyAlignment="1" applyProtection="1">
      <alignment horizontal="left" vertical="center"/>
      <protection hidden="1"/>
    </xf>
    <xf numFmtId="0" fontId="3" fillId="3" borderId="3" xfId="0" applyFont="1" applyFill="1" applyBorder="1" applyAlignment="1" applyProtection="1">
      <alignment vertical="center"/>
      <protection hidden="1"/>
    </xf>
    <xf numFmtId="0" fontId="3" fillId="0" borderId="0" xfId="0" applyFont="1" applyAlignment="1" applyProtection="1">
      <alignment vertical="center" wrapText="1"/>
      <protection hidden="1"/>
    </xf>
    <xf numFmtId="0" fontId="7" fillId="0" borderId="0" xfId="0" applyFont="1" applyAlignment="1" applyProtection="1">
      <alignment vertical="center"/>
      <protection hidden="1"/>
    </xf>
    <xf numFmtId="0" fontId="3" fillId="0" borderId="4" xfId="0" applyFont="1" applyBorder="1" applyAlignment="1" applyProtection="1">
      <alignment horizontal="center" vertical="center"/>
      <protection hidden="1"/>
    </xf>
    <xf numFmtId="0" fontId="3" fillId="0" borderId="5" xfId="2" applyFont="1" applyFill="1" applyBorder="1" applyAlignment="1" applyProtection="1">
      <alignment horizontal="right" vertical="center" wrapText="1"/>
      <protection hidden="1"/>
    </xf>
    <xf numFmtId="14" fontId="3" fillId="2" borderId="5" xfId="2" applyNumberFormat="1" applyFont="1" applyFill="1" applyBorder="1" applyAlignment="1" applyProtection="1">
      <alignment horizontal="left" vertical="center" wrapText="1"/>
      <protection locked="0"/>
    </xf>
    <xf numFmtId="0" fontId="3" fillId="3" borderId="4" xfId="0" applyFont="1" applyFill="1" applyBorder="1" applyAlignment="1" applyProtection="1">
      <alignment horizontal="left" vertical="center" wrapText="1"/>
      <protection hidden="1"/>
    </xf>
    <xf numFmtId="0" fontId="4" fillId="0" borderId="3" xfId="0" applyFont="1" applyBorder="1" applyAlignment="1" applyProtection="1">
      <alignment horizontal="left" vertical="center"/>
      <protection hidden="1"/>
    </xf>
    <xf numFmtId="0" fontId="4" fillId="0" borderId="0" xfId="0" applyFont="1" applyAlignment="1" applyProtection="1">
      <alignment horizontal="left" vertical="center"/>
      <protection hidden="1"/>
    </xf>
    <xf numFmtId="0" fontId="4" fillId="0" borderId="0" xfId="0" applyFont="1" applyAlignment="1" applyProtection="1">
      <alignment vertical="center"/>
      <protection hidden="1"/>
    </xf>
    <xf numFmtId="0" fontId="4" fillId="0" borderId="0" xfId="0" applyFont="1" applyAlignment="1" applyProtection="1">
      <alignment horizontal="right" vertical="center"/>
      <protection hidden="1"/>
    </xf>
    <xf numFmtId="0" fontId="3" fillId="0" borderId="0" xfId="0" applyFont="1" applyAlignment="1" applyProtection="1">
      <alignment vertical="top" wrapText="1"/>
      <protection hidden="1"/>
    </xf>
    <xf numFmtId="0" fontId="3" fillId="0" borderId="0" xfId="0" applyFont="1" applyAlignment="1" applyProtection="1">
      <alignment horizontal="right" vertical="top" wrapText="1"/>
      <protection hidden="1"/>
    </xf>
    <xf numFmtId="0" fontId="3" fillId="3" borderId="0" xfId="0" applyFont="1" applyFill="1" applyAlignment="1" applyProtection="1">
      <alignment vertical="center"/>
      <protection hidden="1"/>
    </xf>
    <xf numFmtId="0" fontId="4" fillId="0" borderId="5" xfId="0" applyFont="1" applyBorder="1" applyAlignment="1">
      <alignment horizontal="center" vertical="center" wrapText="1"/>
    </xf>
    <xf numFmtId="0" fontId="3" fillId="0" borderId="5" xfId="0" applyFont="1" applyBorder="1" applyAlignment="1" applyProtection="1">
      <alignment horizontal="center" vertical="center"/>
      <protection hidden="1"/>
    </xf>
    <xf numFmtId="14" fontId="3" fillId="2" borderId="5" xfId="1" applyNumberFormat="1" applyFont="1" applyFill="1" applyBorder="1" applyAlignment="1" applyProtection="1">
      <alignment horizontal="left" vertical="top"/>
      <protection locked="0"/>
    </xf>
    <xf numFmtId="0" fontId="3" fillId="2" borderId="5" xfId="1" applyNumberFormat="1" applyFont="1" applyFill="1" applyBorder="1" applyAlignment="1" applyProtection="1">
      <alignment horizontal="left" vertical="top"/>
      <protection locked="0"/>
    </xf>
    <xf numFmtId="0" fontId="17" fillId="0" borderId="0" xfId="0" applyFont="1" applyAlignment="1">
      <alignment horizontal="right"/>
    </xf>
    <xf numFmtId="0" fontId="18" fillId="0" borderId="0" xfId="0" applyFont="1"/>
    <xf numFmtId="0" fontId="20" fillId="0" borderId="0" xfId="0" applyFont="1"/>
    <xf numFmtId="0" fontId="21" fillId="0" borderId="0" xfId="0" applyFont="1"/>
    <xf numFmtId="166" fontId="13" fillId="0" borderId="5" xfId="1" applyNumberFormat="1" applyFont="1" applyBorder="1" applyAlignment="1" applyProtection="1">
      <alignment vertical="center"/>
      <protection hidden="1"/>
    </xf>
    <xf numFmtId="44" fontId="13" fillId="4" borderId="5" xfId="1" applyFont="1" applyFill="1" applyBorder="1" applyAlignment="1" applyProtection="1">
      <alignment vertical="center"/>
      <protection hidden="1"/>
    </xf>
    <xf numFmtId="44" fontId="13" fillId="2" borderId="5" xfId="1" applyFont="1" applyFill="1" applyBorder="1" applyAlignment="1" applyProtection="1">
      <alignment vertical="center"/>
      <protection locked="0"/>
    </xf>
    <xf numFmtId="44" fontId="13" fillId="3" borderId="5" xfId="1" applyFont="1" applyFill="1" applyBorder="1" applyAlignment="1" applyProtection="1">
      <alignment horizontal="right" vertical="center"/>
      <protection hidden="1"/>
    </xf>
    <xf numFmtId="0" fontId="3" fillId="0" borderId="4" xfId="0" applyFont="1" applyBorder="1" applyAlignment="1" applyProtection="1">
      <alignment vertical="center"/>
      <protection hidden="1"/>
    </xf>
    <xf numFmtId="167" fontId="13" fillId="0" borderId="3" xfId="0" applyNumberFormat="1" applyFont="1" applyBorder="1" applyAlignment="1" applyProtection="1">
      <alignment vertical="center"/>
      <protection hidden="1"/>
    </xf>
    <xf numFmtId="167" fontId="13" fillId="0" borderId="3" xfId="0" applyNumberFormat="1" applyFont="1" applyBorder="1" applyAlignment="1" applyProtection="1">
      <alignment horizontal="center" vertical="center"/>
      <protection hidden="1"/>
    </xf>
    <xf numFmtId="44" fontId="13" fillId="0" borderId="12" xfId="1" applyFont="1" applyFill="1" applyBorder="1" applyAlignment="1" applyProtection="1">
      <alignment vertical="center"/>
      <protection hidden="1"/>
    </xf>
    <xf numFmtId="44" fontId="13" fillId="4" borderId="8" xfId="1" applyFont="1" applyFill="1" applyBorder="1" applyAlignment="1" applyProtection="1">
      <alignment vertical="center"/>
      <protection hidden="1"/>
    </xf>
    <xf numFmtId="44" fontId="3" fillId="4" borderId="11" xfId="1" applyFont="1" applyFill="1" applyBorder="1" applyAlignment="1" applyProtection="1">
      <alignment vertical="center"/>
      <protection hidden="1"/>
    </xf>
    <xf numFmtId="44" fontId="13" fillId="4" borderId="12" xfId="1" applyFont="1" applyFill="1" applyBorder="1" applyAlignment="1" applyProtection="1">
      <alignment vertical="center"/>
      <protection hidden="1"/>
    </xf>
    <xf numFmtId="44" fontId="3" fillId="2" borderId="8" xfId="1" applyFont="1" applyFill="1" applyBorder="1" applyAlignment="1" applyProtection="1">
      <alignment vertical="center"/>
      <protection locked="0"/>
    </xf>
    <xf numFmtId="166" fontId="13" fillId="0" borderId="12" xfId="1" applyNumberFormat="1" applyFont="1" applyFill="1" applyBorder="1" applyAlignment="1" applyProtection="1">
      <alignment vertical="center"/>
      <protection hidden="1"/>
    </xf>
    <xf numFmtId="44" fontId="3" fillId="0" borderId="30" xfId="1" applyFont="1" applyFill="1" applyBorder="1" applyAlignment="1" applyProtection="1">
      <alignment vertical="center"/>
      <protection hidden="1"/>
    </xf>
    <xf numFmtId="44" fontId="3" fillId="4" borderId="23" xfId="1" applyFont="1" applyFill="1" applyBorder="1" applyAlignment="1" applyProtection="1">
      <alignment vertical="center"/>
      <protection hidden="1"/>
    </xf>
    <xf numFmtId="44" fontId="3" fillId="4" borderId="31" xfId="1" applyFont="1" applyFill="1" applyBorder="1" applyAlignment="1" applyProtection="1">
      <alignment vertical="center"/>
      <protection hidden="1"/>
    </xf>
    <xf numFmtId="2" fontId="3" fillId="0" borderId="0" xfId="0" applyNumberFormat="1" applyFont="1" applyAlignment="1" applyProtection="1">
      <alignment vertical="center"/>
      <protection hidden="1"/>
    </xf>
    <xf numFmtId="44" fontId="0" fillId="0" borderId="0" xfId="1" applyFont="1" applyProtection="1">
      <protection hidden="1"/>
    </xf>
    <xf numFmtId="44" fontId="3" fillId="4" borderId="27" xfId="1" applyFont="1" applyFill="1" applyBorder="1" applyAlignment="1" applyProtection="1">
      <alignment vertical="center"/>
      <protection hidden="1"/>
    </xf>
    <xf numFmtId="167" fontId="3" fillId="0" borderId="3" xfId="0" applyNumberFormat="1" applyFont="1" applyBorder="1" applyAlignment="1" applyProtection="1">
      <alignment vertical="center"/>
      <protection hidden="1"/>
    </xf>
    <xf numFmtId="44" fontId="3" fillId="0" borderId="0" xfId="1" applyFont="1" applyFill="1" applyBorder="1" applyAlignment="1" applyProtection="1">
      <alignment horizontal="center" vertical="center"/>
      <protection hidden="1"/>
    </xf>
    <xf numFmtId="0" fontId="3" fillId="0" borderId="0" xfId="0" applyFont="1" applyProtection="1">
      <protection hidden="1"/>
    </xf>
    <xf numFmtId="0" fontId="3" fillId="0" borderId="0" xfId="0" applyFont="1" applyAlignment="1" applyProtection="1">
      <alignment horizontal="left" wrapText="1"/>
      <protection hidden="1"/>
    </xf>
    <xf numFmtId="0" fontId="3" fillId="0" borderId="0" xfId="0" applyFont="1" applyAlignment="1" applyProtection="1">
      <alignment horizontal="left" vertical="top"/>
      <protection hidden="1"/>
    </xf>
    <xf numFmtId="0" fontId="22" fillId="0" borderId="0" xfId="3" applyFont="1" applyAlignment="1" applyProtection="1">
      <alignment horizontal="left"/>
      <protection hidden="1"/>
    </xf>
    <xf numFmtId="0" fontId="13" fillId="0" borderId="0" xfId="0" applyFont="1" applyAlignment="1">
      <alignment vertical="top" wrapText="1"/>
    </xf>
    <xf numFmtId="0" fontId="24" fillId="0" borderId="0" xfId="0" applyFont="1"/>
    <xf numFmtId="0" fontId="23" fillId="0" borderId="0" xfId="0" applyFont="1" applyAlignment="1">
      <alignment vertical="top" wrapText="1"/>
    </xf>
    <xf numFmtId="14" fontId="13" fillId="4" borderId="1" xfId="0" applyNumberFormat="1" applyFont="1" applyFill="1" applyBorder="1" applyAlignment="1" applyProtection="1">
      <alignment horizontal="left" vertical="center"/>
      <protection locked="0"/>
    </xf>
    <xf numFmtId="0" fontId="0" fillId="0" borderId="0" xfId="0" applyAlignment="1" applyProtection="1">
      <alignment horizontal="left" vertical="top"/>
      <protection hidden="1"/>
    </xf>
    <xf numFmtId="0" fontId="26" fillId="0" borderId="0" xfId="0" applyFont="1" applyAlignment="1" applyProtection="1">
      <alignment horizontal="left" vertical="center"/>
      <protection hidden="1"/>
    </xf>
    <xf numFmtId="0" fontId="4" fillId="0" borderId="0" xfId="0" applyFont="1" applyAlignment="1" applyProtection="1">
      <alignment horizontal="center" vertical="center"/>
      <protection hidden="1"/>
    </xf>
    <xf numFmtId="0" fontId="4" fillId="0" borderId="0" xfId="0" applyFont="1" applyAlignment="1" applyProtection="1">
      <alignment horizontal="center" vertical="center" wrapText="1"/>
      <protection hidden="1"/>
    </xf>
    <xf numFmtId="0" fontId="22" fillId="0" borderId="0" xfId="3" applyFont="1" applyProtection="1">
      <protection hidden="1"/>
    </xf>
    <xf numFmtId="0" fontId="4" fillId="0" borderId="0" xfId="0" applyFont="1" applyAlignment="1" applyProtection="1">
      <alignment horizontal="left"/>
      <protection hidden="1"/>
    </xf>
    <xf numFmtId="0" fontId="13" fillId="0" borderId="1" xfId="0" applyFont="1" applyBorder="1" applyAlignment="1" applyProtection="1">
      <alignment horizontal="left" vertical="center"/>
      <protection locked="0"/>
    </xf>
    <xf numFmtId="0" fontId="13" fillId="3" borderId="0" xfId="0" applyFont="1" applyFill="1" applyAlignment="1" applyProtection="1">
      <alignment horizontal="left" vertical="top" wrapText="1"/>
      <protection hidden="1"/>
    </xf>
    <xf numFmtId="0" fontId="3" fillId="2" borderId="1" xfId="0" applyFont="1" applyFill="1" applyBorder="1" applyAlignment="1" applyProtection="1">
      <alignment horizontal="left" vertical="center"/>
      <protection locked="0"/>
    </xf>
    <xf numFmtId="0" fontId="3" fillId="0" borderId="0" xfId="0" applyFont="1" applyAlignment="1">
      <alignment horizontal="center" vertical="center"/>
    </xf>
    <xf numFmtId="14" fontId="13" fillId="0" borderId="0" xfId="0" applyNumberFormat="1" applyFont="1" applyAlignment="1">
      <alignment horizontal="left" vertical="center"/>
    </xf>
    <xf numFmtId="44" fontId="3" fillId="4" borderId="33" xfId="1" applyFont="1" applyFill="1" applyBorder="1" applyAlignment="1" applyProtection="1">
      <alignment vertical="center"/>
      <protection hidden="1"/>
    </xf>
    <xf numFmtId="44" fontId="3" fillId="2" borderId="33" xfId="1" applyFont="1" applyFill="1" applyBorder="1" applyAlignment="1" applyProtection="1">
      <alignment vertical="center"/>
      <protection locked="0"/>
    </xf>
    <xf numFmtId="44" fontId="3" fillId="4" borderId="34" xfId="1" applyFont="1" applyFill="1" applyBorder="1" applyAlignment="1" applyProtection="1">
      <alignment vertical="center"/>
      <protection hidden="1"/>
    </xf>
    <xf numFmtId="44" fontId="3" fillId="4" borderId="35" xfId="1" applyFont="1" applyFill="1" applyBorder="1" applyAlignment="1" applyProtection="1">
      <alignment vertical="center"/>
      <protection hidden="1"/>
    </xf>
    <xf numFmtId="44" fontId="3" fillId="2" borderId="31" xfId="1" applyFont="1" applyFill="1" applyBorder="1" applyAlignment="1" applyProtection="1">
      <alignment vertical="center"/>
      <protection locked="0"/>
    </xf>
    <xf numFmtId="0" fontId="3" fillId="0" borderId="37" xfId="0" applyFont="1" applyBorder="1" applyAlignment="1" applyProtection="1">
      <alignment vertical="center"/>
      <protection hidden="1"/>
    </xf>
    <xf numFmtId="0" fontId="3" fillId="0" borderId="37" xfId="0" applyFont="1" applyBorder="1" applyAlignment="1" applyProtection="1">
      <alignment horizontal="center" vertical="center"/>
      <protection hidden="1"/>
    </xf>
    <xf numFmtId="0" fontId="3" fillId="3" borderId="38" xfId="0" applyFont="1" applyFill="1" applyBorder="1" applyAlignment="1" applyProtection="1">
      <alignment horizontal="left" vertical="center" wrapText="1"/>
      <protection hidden="1"/>
    </xf>
    <xf numFmtId="44" fontId="13" fillId="2" borderId="33" xfId="1" applyFont="1" applyFill="1" applyBorder="1" applyAlignment="1" applyProtection="1">
      <alignment vertical="center"/>
      <protection locked="0"/>
    </xf>
    <xf numFmtId="44" fontId="13" fillId="4" borderId="39" xfId="1" applyFont="1" applyFill="1" applyBorder="1" applyAlignment="1" applyProtection="1">
      <alignment vertical="center"/>
      <protection hidden="1"/>
    </xf>
    <xf numFmtId="0" fontId="3" fillId="0" borderId="43" xfId="0" applyFont="1" applyBorder="1" applyAlignment="1" applyProtection="1">
      <alignment horizontal="left" vertical="center" wrapText="1"/>
      <protection hidden="1"/>
    </xf>
    <xf numFmtId="167" fontId="5" fillId="0" borderId="3" xfId="0" applyNumberFormat="1" applyFont="1" applyBorder="1" applyAlignment="1" applyProtection="1">
      <alignment horizontal="center" vertical="center"/>
      <protection hidden="1"/>
    </xf>
    <xf numFmtId="4" fontId="2" fillId="0" borderId="0" xfId="0" applyNumberFormat="1" applyFont="1" applyAlignment="1" applyProtection="1">
      <alignment horizontal="left" vertical="center"/>
      <protection hidden="1"/>
    </xf>
    <xf numFmtId="4" fontId="30" fillId="0" borderId="0" xfId="0" applyNumberFormat="1" applyFont="1" applyProtection="1">
      <protection hidden="1"/>
    </xf>
    <xf numFmtId="0" fontId="3" fillId="2" borderId="5" xfId="1" applyNumberFormat="1" applyFont="1" applyFill="1" applyBorder="1" applyAlignment="1" applyProtection="1">
      <alignment horizontal="left" vertical="top" wrapText="1"/>
      <protection locked="0"/>
    </xf>
    <xf numFmtId="0" fontId="2" fillId="0" borderId="0" xfId="0" applyFont="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4" fillId="0" borderId="5" xfId="0" applyFont="1" applyBorder="1" applyAlignment="1" applyProtection="1">
      <alignment horizontal="left" vertical="center" wrapText="1"/>
      <protection hidden="1"/>
    </xf>
    <xf numFmtId="0" fontId="4" fillId="0" borderId="5" xfId="0" applyFont="1" applyBorder="1" applyAlignment="1" applyProtection="1">
      <alignment horizontal="center" vertical="center"/>
      <protection hidden="1"/>
    </xf>
    <xf numFmtId="0" fontId="4" fillId="0" borderId="5" xfId="0" applyFont="1" applyBorder="1" applyAlignment="1" applyProtection="1">
      <alignment horizontal="center" vertical="center" wrapText="1"/>
      <protection hidden="1"/>
    </xf>
    <xf numFmtId="0" fontId="3" fillId="3" borderId="0" xfId="0" applyFont="1" applyFill="1" applyAlignment="1" applyProtection="1">
      <alignment horizontal="left" vertical="center"/>
      <protection hidden="1"/>
    </xf>
    <xf numFmtId="0" fontId="3" fillId="0" borderId="0" xfId="0" applyFont="1" applyAlignment="1" applyProtection="1">
      <alignment horizontal="left" vertical="center"/>
      <protection hidden="1"/>
    </xf>
    <xf numFmtId="14" fontId="3" fillId="4" borderId="0" xfId="0" applyNumberFormat="1" applyFont="1" applyFill="1" applyAlignment="1" applyProtection="1">
      <alignment horizontal="left" vertical="top"/>
      <protection locked="0"/>
    </xf>
    <xf numFmtId="0" fontId="3" fillId="4" borderId="0" xfId="0" applyFont="1" applyFill="1" applyAlignment="1" applyProtection="1">
      <alignment horizontal="center" vertical="top"/>
      <protection locked="0"/>
    </xf>
    <xf numFmtId="0" fontId="3" fillId="4" borderId="0" xfId="0" applyFont="1" applyFill="1" applyAlignment="1" applyProtection="1">
      <alignment horizontal="left" vertical="top" wrapText="1"/>
      <protection locked="0"/>
    </xf>
    <xf numFmtId="0" fontId="2" fillId="0" borderId="0" xfId="0" applyFont="1" applyAlignment="1" applyProtection="1">
      <alignment horizontal="left"/>
      <protection hidden="1"/>
    </xf>
    <xf numFmtId="44" fontId="3" fillId="0" borderId="0" xfId="0" applyNumberFormat="1" applyFont="1" applyAlignment="1" applyProtection="1">
      <alignment vertical="center"/>
      <protection hidden="1"/>
    </xf>
    <xf numFmtId="166" fontId="13" fillId="2" borderId="12" xfId="1" applyNumberFormat="1" applyFont="1" applyFill="1" applyBorder="1" applyAlignment="1" applyProtection="1">
      <alignment vertical="center"/>
      <protection locked="0" hidden="1"/>
    </xf>
    <xf numFmtId="0" fontId="3" fillId="0" borderId="47" xfId="0" applyFont="1" applyBorder="1" applyAlignment="1" applyProtection="1">
      <alignment horizontal="center" vertical="center"/>
      <protection hidden="1"/>
    </xf>
    <xf numFmtId="0" fontId="3" fillId="0" borderId="6" xfId="0" applyFont="1" applyBorder="1" applyAlignment="1" applyProtection="1">
      <alignment horizontal="center" vertical="center"/>
      <protection hidden="1"/>
    </xf>
    <xf numFmtId="0" fontId="3" fillId="0" borderId="20" xfId="0" applyFont="1" applyBorder="1" applyAlignment="1" applyProtection="1">
      <alignment horizontal="center" vertical="center"/>
      <protection hidden="1"/>
    </xf>
    <xf numFmtId="0" fontId="0" fillId="0" borderId="48" xfId="0" applyBorder="1" applyAlignment="1">
      <alignment horizontal="center" vertical="center"/>
    </xf>
    <xf numFmtId="0" fontId="0" fillId="0" borderId="0" xfId="0" applyAlignment="1">
      <alignment horizontal="center" vertical="center"/>
    </xf>
    <xf numFmtId="0" fontId="0" fillId="0" borderId="17" xfId="0" applyBorder="1" applyAlignment="1">
      <alignment horizontal="center" vertical="center"/>
    </xf>
    <xf numFmtId="0" fontId="0" fillId="0" borderId="46" xfId="0" applyBorder="1" applyAlignment="1">
      <alignment horizontal="center" vertical="center"/>
    </xf>
    <xf numFmtId="0" fontId="0" fillId="0" borderId="1" xfId="0" applyBorder="1" applyAlignment="1">
      <alignment horizontal="center" vertical="center"/>
    </xf>
    <xf numFmtId="0" fontId="0" fillId="0" borderId="22" xfId="0" applyBorder="1" applyAlignment="1">
      <alignment horizontal="center" vertical="center"/>
    </xf>
    <xf numFmtId="0" fontId="4" fillId="0" borderId="12" xfId="0" applyFont="1" applyBorder="1" applyAlignment="1" applyProtection="1">
      <alignment vertical="top" wrapText="1"/>
      <protection hidden="1"/>
    </xf>
    <xf numFmtId="0" fontId="0" fillId="0" borderId="32" xfId="0" applyBorder="1" applyAlignment="1">
      <alignment vertical="top" wrapText="1"/>
    </xf>
    <xf numFmtId="0" fontId="0" fillId="0" borderId="9" xfId="0" applyBorder="1" applyAlignment="1">
      <alignment vertical="top" wrapText="1"/>
    </xf>
    <xf numFmtId="0" fontId="4" fillId="0" borderId="39" xfId="0" applyFont="1" applyBorder="1" applyAlignment="1" applyProtection="1">
      <alignment vertical="top" wrapText="1"/>
      <protection hidden="1"/>
    </xf>
    <xf numFmtId="0" fontId="0" fillId="0" borderId="49" xfId="0" applyBorder="1" applyAlignment="1">
      <alignment vertical="top" wrapText="1"/>
    </xf>
    <xf numFmtId="0" fontId="0" fillId="0" borderId="35" xfId="0" applyBorder="1" applyAlignment="1">
      <alignment vertical="top" wrapText="1"/>
    </xf>
    <xf numFmtId="0" fontId="11" fillId="4" borderId="2" xfId="0" applyFont="1" applyFill="1" applyBorder="1" applyAlignment="1" applyProtection="1">
      <alignment vertical="top" wrapText="1"/>
      <protection locked="0"/>
    </xf>
    <xf numFmtId="0" fontId="28" fillId="4" borderId="3" xfId="0" applyFont="1" applyFill="1" applyBorder="1" applyAlignment="1" applyProtection="1">
      <alignment vertical="top" wrapText="1"/>
      <protection locked="0"/>
    </xf>
    <xf numFmtId="0" fontId="28" fillId="4" borderId="4" xfId="0" applyFont="1" applyFill="1" applyBorder="1" applyAlignment="1" applyProtection="1">
      <alignment vertical="top" wrapText="1"/>
      <protection locked="0"/>
    </xf>
    <xf numFmtId="0" fontId="6" fillId="0" borderId="0" xfId="0" applyFont="1" applyAlignment="1" applyProtection="1">
      <alignment horizontal="left" vertical="center"/>
      <protection hidden="1"/>
    </xf>
    <xf numFmtId="0" fontId="6" fillId="0" borderId="0" xfId="3" applyFont="1" applyAlignment="1" applyProtection="1">
      <alignment horizontal="left" vertical="center" wrapText="1"/>
      <protection hidden="1"/>
    </xf>
    <xf numFmtId="0" fontId="13" fillId="0" borderId="6" xfId="0" applyFont="1" applyBorder="1" applyAlignment="1" applyProtection="1">
      <alignment horizontal="left" vertical="top" wrapText="1"/>
      <protection hidden="1"/>
    </xf>
    <xf numFmtId="0" fontId="13" fillId="0" borderId="0" xfId="0" applyFont="1" applyAlignment="1" applyProtection="1">
      <alignment horizontal="left" vertical="top" wrapText="1"/>
      <protection hidden="1"/>
    </xf>
    <xf numFmtId="0" fontId="13" fillId="3" borderId="6" xfId="0" applyFont="1" applyFill="1" applyBorder="1" applyAlignment="1" applyProtection="1">
      <alignment horizontal="left" vertical="top" wrapText="1"/>
      <protection hidden="1"/>
    </xf>
    <xf numFmtId="0" fontId="0" fillId="0" borderId="6" xfId="0" applyBorder="1"/>
    <xf numFmtId="0" fontId="3" fillId="0" borderId="6" xfId="0" applyFont="1" applyBorder="1" applyAlignment="1" applyProtection="1">
      <alignment horizontal="left" vertical="top" wrapText="1"/>
      <protection hidden="1"/>
    </xf>
    <xf numFmtId="0" fontId="0" fillId="0" borderId="6" xfId="0" applyBorder="1" applyAlignment="1">
      <alignment horizontal="left" vertical="top" wrapText="1"/>
    </xf>
    <xf numFmtId="0" fontId="11" fillId="2" borderId="19" xfId="0" applyFont="1" applyFill="1" applyBorder="1" applyAlignment="1" applyProtection="1">
      <alignment horizontal="left" vertical="top" wrapText="1"/>
      <protection locked="0"/>
    </xf>
    <xf numFmtId="0" fontId="28" fillId="2" borderId="6" xfId="0" applyFont="1" applyFill="1" applyBorder="1" applyAlignment="1" applyProtection="1">
      <alignment horizontal="left" vertical="top" wrapText="1"/>
      <protection locked="0"/>
    </xf>
    <xf numFmtId="0" fontId="28" fillId="2" borderId="20" xfId="0" applyFont="1" applyFill="1" applyBorder="1" applyAlignment="1" applyProtection="1">
      <alignment horizontal="left" vertical="top" wrapText="1"/>
      <protection locked="0"/>
    </xf>
    <xf numFmtId="0" fontId="28" fillId="0" borderId="18" xfId="0" applyFont="1" applyBorder="1" applyAlignment="1" applyProtection="1">
      <alignment horizontal="left" vertical="top" wrapText="1"/>
      <protection locked="0"/>
    </xf>
    <xf numFmtId="0" fontId="28" fillId="0" borderId="0" xfId="0" applyFont="1" applyAlignment="1" applyProtection="1">
      <alignment horizontal="left" vertical="top" wrapText="1"/>
      <protection locked="0"/>
    </xf>
    <xf numFmtId="0" fontId="28" fillId="0" borderId="17" xfId="0" applyFont="1" applyBorder="1" applyAlignment="1" applyProtection="1">
      <alignment horizontal="left" vertical="top" wrapText="1"/>
      <protection locked="0"/>
    </xf>
    <xf numFmtId="0" fontId="28" fillId="0" borderId="21" xfId="0" applyFont="1" applyBorder="1" applyAlignment="1" applyProtection="1">
      <alignment horizontal="left" vertical="top" wrapText="1"/>
      <protection locked="0"/>
    </xf>
    <xf numFmtId="0" fontId="28" fillId="0" borderId="1" xfId="0" applyFont="1" applyBorder="1" applyAlignment="1" applyProtection="1">
      <alignment horizontal="left" vertical="top" wrapText="1"/>
      <protection locked="0"/>
    </xf>
    <xf numFmtId="0" fontId="28" fillId="0" borderId="22" xfId="0" applyFont="1" applyBorder="1" applyAlignment="1" applyProtection="1">
      <alignment horizontal="left" vertical="top" wrapText="1"/>
      <protection locked="0"/>
    </xf>
    <xf numFmtId="0" fontId="13" fillId="4" borderId="1" xfId="0" applyFont="1" applyFill="1" applyBorder="1" applyAlignment="1" applyProtection="1">
      <alignment horizontal="left" vertical="center"/>
      <protection locked="0"/>
    </xf>
    <xf numFmtId="0" fontId="0" fillId="0" borderId="1" xfId="0" applyBorder="1" applyAlignment="1" applyProtection="1">
      <alignment horizontal="left" vertical="center"/>
      <protection locked="0"/>
    </xf>
    <xf numFmtId="0" fontId="4" fillId="0" borderId="26" xfId="0" applyFont="1" applyBorder="1" applyAlignment="1" applyProtection="1">
      <alignment horizontal="center" vertical="center"/>
      <protection hidden="1"/>
    </xf>
    <xf numFmtId="0" fontId="4" fillId="0" borderId="24" xfId="0" applyFont="1" applyBorder="1" applyAlignment="1" applyProtection="1">
      <alignment horizontal="center" vertical="center"/>
      <protection hidden="1"/>
    </xf>
    <xf numFmtId="0" fontId="4" fillId="0" borderId="25" xfId="0" applyFont="1" applyBorder="1" applyAlignment="1" applyProtection="1">
      <alignment horizontal="center" vertical="center"/>
      <protection hidden="1"/>
    </xf>
    <xf numFmtId="0" fontId="4" fillId="0" borderId="26" xfId="0" applyFont="1" applyBorder="1" applyAlignment="1" applyProtection="1">
      <alignment horizontal="left" vertical="center" wrapText="1"/>
      <protection hidden="1"/>
    </xf>
    <xf numFmtId="0" fontId="4" fillId="0" borderId="24" xfId="0" applyFont="1" applyBorder="1" applyAlignment="1" applyProtection="1">
      <alignment horizontal="left" vertical="center" wrapText="1"/>
      <protection hidden="1"/>
    </xf>
    <xf numFmtId="0" fontId="4" fillId="0" borderId="25" xfId="0" applyFont="1" applyBorder="1" applyAlignment="1" applyProtection="1">
      <alignment horizontal="left" vertical="center" wrapText="1"/>
      <protection hidden="1"/>
    </xf>
    <xf numFmtId="0" fontId="3" fillId="0" borderId="26" xfId="0" applyFont="1" applyBorder="1" applyAlignment="1" applyProtection="1">
      <alignment horizontal="left" vertical="center" wrapText="1"/>
      <protection hidden="1"/>
    </xf>
    <xf numFmtId="0" fontId="3" fillId="0" borderId="24" xfId="0" applyFont="1" applyBorder="1" applyAlignment="1" applyProtection="1">
      <alignment horizontal="left" vertical="center" wrapText="1"/>
      <protection hidden="1"/>
    </xf>
    <xf numFmtId="0" fontId="3" fillId="0" borderId="25" xfId="0" applyFont="1" applyBorder="1" applyAlignment="1" applyProtection="1">
      <alignment horizontal="left" vertical="center" wrapText="1"/>
      <protection hidden="1"/>
    </xf>
    <xf numFmtId="0" fontId="3" fillId="0" borderId="43" xfId="0" applyFont="1" applyBorder="1" applyAlignment="1" applyProtection="1">
      <alignment horizontal="left" vertical="center" wrapText="1"/>
      <protection hidden="1"/>
    </xf>
    <xf numFmtId="0" fontId="3" fillId="0" borderId="3" xfId="0" applyFont="1" applyBorder="1" applyAlignment="1" applyProtection="1">
      <alignment horizontal="left" vertical="center" wrapText="1"/>
      <protection hidden="1"/>
    </xf>
    <xf numFmtId="0" fontId="3" fillId="0" borderId="4" xfId="0" applyFont="1" applyBorder="1" applyAlignment="1" applyProtection="1">
      <alignment horizontal="left" vertical="center" wrapText="1"/>
      <protection hidden="1"/>
    </xf>
    <xf numFmtId="10" fontId="3" fillId="0" borderId="2" xfId="0" applyNumberFormat="1" applyFont="1" applyBorder="1" applyAlignment="1" applyProtection="1">
      <alignment horizontal="right" vertical="center" wrapText="1"/>
      <protection hidden="1"/>
    </xf>
    <xf numFmtId="10" fontId="3" fillId="0" borderId="4" xfId="0" applyNumberFormat="1" applyFont="1" applyBorder="1" applyAlignment="1" applyProtection="1">
      <alignment horizontal="right" vertical="center" wrapText="1"/>
      <protection hidden="1"/>
    </xf>
    <xf numFmtId="0" fontId="3" fillId="0" borderId="44" xfId="0" applyFont="1" applyBorder="1" applyAlignment="1" applyProtection="1">
      <alignment horizontal="left" vertical="center" wrapText="1"/>
      <protection hidden="1"/>
    </xf>
    <xf numFmtId="0" fontId="3" fillId="0" borderId="7" xfId="0" applyFont="1" applyBorder="1" applyAlignment="1" applyProtection="1">
      <alignment horizontal="left" vertical="center" wrapText="1"/>
      <protection hidden="1"/>
    </xf>
    <xf numFmtId="0" fontId="3" fillId="0" borderId="11" xfId="0" applyFont="1" applyBorder="1" applyAlignment="1" applyProtection="1">
      <alignment horizontal="left" vertical="center" wrapText="1"/>
      <protection hidden="1"/>
    </xf>
    <xf numFmtId="10" fontId="3" fillId="0" borderId="10" xfId="0" applyNumberFormat="1" applyFont="1" applyBorder="1" applyAlignment="1" applyProtection="1">
      <alignment horizontal="right" vertical="center" wrapText="1"/>
      <protection hidden="1"/>
    </xf>
    <xf numFmtId="10" fontId="3" fillId="0" borderId="11" xfId="0" applyNumberFormat="1" applyFont="1" applyBorder="1" applyAlignment="1" applyProtection="1">
      <alignment horizontal="right" vertical="center" wrapText="1"/>
      <protection hidden="1"/>
    </xf>
    <xf numFmtId="0" fontId="0" fillId="0" borderId="3" xfId="0" applyBorder="1" applyAlignment="1">
      <alignment horizontal="left" vertical="center" wrapText="1"/>
    </xf>
    <xf numFmtId="0" fontId="0" fillId="0" borderId="4" xfId="0" applyBorder="1" applyAlignment="1">
      <alignment horizontal="left" vertical="center" wrapText="1"/>
    </xf>
    <xf numFmtId="0" fontId="2" fillId="0" borderId="40" xfId="0" applyFont="1" applyBorder="1" applyAlignment="1" applyProtection="1">
      <alignment horizontal="center" vertical="center" wrapText="1"/>
      <protection hidden="1"/>
    </xf>
    <xf numFmtId="0" fontId="0" fillId="0" borderId="41" xfId="0" applyBorder="1" applyAlignment="1">
      <alignment horizontal="center" vertical="center" wrapText="1"/>
    </xf>
    <xf numFmtId="0" fontId="0" fillId="0" borderId="42" xfId="0" applyBorder="1" applyAlignment="1">
      <alignment horizontal="center" vertical="center" wrapText="1"/>
    </xf>
    <xf numFmtId="0" fontId="3" fillId="0" borderId="19" xfId="0" applyFont="1" applyBorder="1" applyAlignment="1" applyProtection="1">
      <alignment horizontal="center" vertical="center"/>
      <protection hidden="1"/>
    </xf>
    <xf numFmtId="0" fontId="0" fillId="0" borderId="18" xfId="0" applyBorder="1" applyAlignment="1">
      <alignment horizontal="center" vertical="center"/>
    </xf>
    <xf numFmtId="0" fontId="0" fillId="0" borderId="21" xfId="0" applyBorder="1" applyAlignment="1">
      <alignment horizontal="center" vertical="center"/>
    </xf>
    <xf numFmtId="0" fontId="4" fillId="0" borderId="12" xfId="0" applyFont="1" applyBorder="1" applyAlignment="1" applyProtection="1">
      <alignment horizontal="center" vertical="center" wrapText="1"/>
      <protection hidden="1"/>
    </xf>
    <xf numFmtId="0" fontId="0" fillId="0" borderId="32" xfId="0" applyBorder="1" applyAlignment="1">
      <alignment horizontal="center" vertical="center" wrapText="1"/>
    </xf>
    <xf numFmtId="0" fontId="0" fillId="0" borderId="9" xfId="0" applyBorder="1" applyAlignment="1">
      <alignment horizontal="center" vertical="center" wrapText="1"/>
    </xf>
    <xf numFmtId="0" fontId="4" fillId="2" borderId="1" xfId="0" applyFont="1" applyFill="1" applyBorder="1" applyAlignment="1" applyProtection="1">
      <alignment vertical="center"/>
      <protection locked="0"/>
    </xf>
    <xf numFmtId="44" fontId="3" fillId="0" borderId="1" xfId="1" applyFont="1" applyFill="1" applyBorder="1" applyAlignment="1" applyProtection="1">
      <alignment horizontal="center" vertical="center"/>
      <protection hidden="1"/>
    </xf>
    <xf numFmtId="0" fontId="3" fillId="0" borderId="2" xfId="0" applyFont="1" applyBorder="1" applyAlignment="1" applyProtection="1">
      <alignment horizontal="left" vertical="center"/>
      <protection hidden="1"/>
    </xf>
    <xf numFmtId="0" fontId="3" fillId="0" borderId="3" xfId="0" applyFont="1" applyBorder="1" applyAlignment="1" applyProtection="1">
      <alignment horizontal="left" vertical="center"/>
      <protection hidden="1"/>
    </xf>
    <xf numFmtId="0" fontId="3" fillId="0" borderId="4" xfId="0" applyFont="1" applyBorder="1" applyAlignment="1" applyProtection="1">
      <alignment horizontal="left" vertical="center"/>
      <protection hidden="1"/>
    </xf>
    <xf numFmtId="0" fontId="3" fillId="0" borderId="10" xfId="0" applyFont="1" applyBorder="1" applyAlignment="1" applyProtection="1">
      <alignment horizontal="left" vertical="center" wrapText="1"/>
      <protection hidden="1"/>
    </xf>
    <xf numFmtId="10" fontId="3" fillId="2" borderId="10" xfId="4" applyNumberFormat="1" applyFont="1" applyFill="1" applyBorder="1" applyAlignment="1" applyProtection="1">
      <alignment horizontal="right" vertical="center" wrapText="1"/>
      <protection locked="0"/>
    </xf>
    <xf numFmtId="10" fontId="3" fillId="2" borderId="11" xfId="4" applyNumberFormat="1" applyFont="1" applyFill="1" applyBorder="1" applyAlignment="1" applyProtection="1">
      <alignment horizontal="right" vertical="center" wrapText="1"/>
      <protection locked="0"/>
    </xf>
    <xf numFmtId="0" fontId="3" fillId="0" borderId="14" xfId="0" applyFont="1" applyBorder="1" applyAlignment="1" applyProtection="1">
      <alignment horizontal="left" vertical="center" wrapText="1"/>
      <protection hidden="1"/>
    </xf>
    <xf numFmtId="0" fontId="3" fillId="0" borderId="15" xfId="0" applyFont="1" applyBorder="1" applyAlignment="1" applyProtection="1">
      <alignment horizontal="left" vertical="center" wrapText="1"/>
      <protection hidden="1"/>
    </xf>
    <xf numFmtId="0" fontId="3" fillId="0" borderId="16" xfId="0" applyFont="1" applyBorder="1" applyAlignment="1" applyProtection="1">
      <alignment horizontal="left" vertical="center" wrapText="1"/>
      <protection hidden="1"/>
    </xf>
    <xf numFmtId="0" fontId="3" fillId="0" borderId="2" xfId="0" applyFont="1" applyBorder="1" applyAlignment="1" applyProtection="1">
      <alignment horizontal="left" vertical="center" wrapText="1"/>
      <protection hidden="1"/>
    </xf>
    <xf numFmtId="0" fontId="13" fillId="0" borderId="2" xfId="0" applyFont="1" applyBorder="1" applyAlignment="1" applyProtection="1">
      <alignment horizontal="left" vertical="center"/>
      <protection hidden="1"/>
    </xf>
    <xf numFmtId="0" fontId="13" fillId="0" borderId="3" xfId="0" applyFont="1" applyBorder="1" applyAlignment="1" applyProtection="1">
      <alignment horizontal="left" vertical="center"/>
      <protection hidden="1"/>
    </xf>
    <xf numFmtId="0" fontId="13" fillId="0" borderId="4" xfId="0" applyFont="1" applyBorder="1" applyAlignment="1" applyProtection="1">
      <alignment horizontal="left" vertical="center"/>
      <protection hidden="1"/>
    </xf>
    <xf numFmtId="0" fontId="4" fillId="2" borderId="2" xfId="0" applyFont="1" applyFill="1" applyBorder="1" applyAlignment="1" applyProtection="1">
      <alignment horizontal="right" vertical="center"/>
      <protection locked="0"/>
    </xf>
    <xf numFmtId="2" fontId="4" fillId="2" borderId="3" xfId="0" applyNumberFormat="1" applyFont="1" applyFill="1" applyBorder="1" applyAlignment="1" applyProtection="1">
      <alignment horizontal="right" vertical="center"/>
      <protection locked="0"/>
    </xf>
    <xf numFmtId="2" fontId="4" fillId="2" borderId="4" xfId="0" applyNumberFormat="1" applyFont="1" applyFill="1" applyBorder="1" applyAlignment="1" applyProtection="1">
      <alignment horizontal="right" vertical="center"/>
      <protection locked="0"/>
    </xf>
    <xf numFmtId="0" fontId="3" fillId="0" borderId="3" xfId="0" applyFont="1" applyBorder="1" applyAlignment="1" applyProtection="1">
      <alignment horizontal="right" vertical="center"/>
      <protection hidden="1"/>
    </xf>
    <xf numFmtId="0" fontId="3" fillId="0" borderId="4" xfId="0" applyFont="1" applyBorder="1" applyAlignment="1" applyProtection="1">
      <alignment horizontal="right" vertical="center"/>
      <protection hidden="1"/>
    </xf>
    <xf numFmtId="0" fontId="13" fillId="0" borderId="2" xfId="0" applyFont="1" applyBorder="1" applyAlignment="1" applyProtection="1">
      <alignment horizontal="left" vertical="center" wrapText="1"/>
      <protection hidden="1"/>
    </xf>
    <xf numFmtId="0" fontId="4" fillId="0" borderId="23" xfId="0" applyFont="1" applyBorder="1" applyAlignment="1" applyProtection="1">
      <alignment horizontal="center" vertical="center" wrapText="1"/>
      <protection hidden="1"/>
    </xf>
    <xf numFmtId="0" fontId="4" fillId="0" borderId="24" xfId="0" applyFont="1" applyBorder="1" applyAlignment="1" applyProtection="1">
      <alignment horizontal="center" vertical="center" wrapText="1"/>
      <protection hidden="1"/>
    </xf>
    <xf numFmtId="0" fontId="4" fillId="0" borderId="25" xfId="0" applyFont="1" applyBorder="1" applyAlignment="1" applyProtection="1">
      <alignment horizontal="center" vertical="center" wrapText="1"/>
      <protection hidden="1"/>
    </xf>
    <xf numFmtId="0" fontId="0" fillId="0" borderId="25" xfId="0" applyBorder="1" applyAlignment="1" applyProtection="1">
      <alignment vertical="center"/>
      <protection hidden="1"/>
    </xf>
    <xf numFmtId="0" fontId="13" fillId="0" borderId="43" xfId="0" applyFont="1" applyBorder="1" applyAlignment="1" applyProtection="1">
      <alignment horizontal="left" vertical="center" wrapText="1"/>
      <protection hidden="1"/>
    </xf>
    <xf numFmtId="0" fontId="13" fillId="0" borderId="3" xfId="0" applyFont="1" applyBorder="1" applyAlignment="1" applyProtection="1">
      <alignment horizontal="left" vertical="center" wrapText="1"/>
      <protection hidden="1"/>
    </xf>
    <xf numFmtId="0" fontId="13" fillId="0" borderId="4" xfId="0" applyFont="1" applyBorder="1" applyAlignment="1" applyProtection="1">
      <alignment horizontal="left" vertical="center" wrapText="1"/>
      <protection hidden="1"/>
    </xf>
    <xf numFmtId="10" fontId="3" fillId="0" borderId="14" xfId="0" applyNumberFormat="1" applyFont="1" applyBorder="1" applyAlignment="1" applyProtection="1">
      <alignment horizontal="right" vertical="center" wrapText="1"/>
      <protection hidden="1"/>
    </xf>
    <xf numFmtId="10" fontId="3" fillId="0" borderId="16" xfId="0" applyNumberFormat="1" applyFont="1" applyBorder="1" applyAlignment="1" applyProtection="1">
      <alignment horizontal="right" vertical="center" wrapText="1"/>
      <protection hidden="1"/>
    </xf>
    <xf numFmtId="10" fontId="3" fillId="0" borderId="14" xfId="4" applyNumberFormat="1" applyFont="1" applyBorder="1" applyAlignment="1" applyProtection="1">
      <alignment horizontal="center" vertical="center" wrapText="1"/>
      <protection hidden="1"/>
    </xf>
    <xf numFmtId="10" fontId="3" fillId="0" borderId="16" xfId="4" applyNumberFormat="1" applyFont="1" applyBorder="1" applyAlignment="1" applyProtection="1">
      <alignment horizontal="center" vertical="center" wrapText="1"/>
      <protection hidden="1"/>
    </xf>
    <xf numFmtId="0" fontId="3" fillId="0" borderId="45" xfId="0" applyFont="1" applyBorder="1" applyAlignment="1" applyProtection="1">
      <alignment horizontal="left" vertical="center" wrapText="1"/>
      <protection hidden="1"/>
    </xf>
    <xf numFmtId="10" fontId="3" fillId="2" borderId="10" xfId="0" applyNumberFormat="1" applyFont="1" applyFill="1" applyBorder="1" applyAlignment="1" applyProtection="1">
      <alignment horizontal="right" vertical="center" wrapText="1"/>
      <protection locked="0" hidden="1"/>
    </xf>
    <xf numFmtId="10" fontId="3" fillId="2" borderId="11" xfId="0" applyNumberFormat="1" applyFont="1" applyFill="1" applyBorder="1" applyAlignment="1" applyProtection="1">
      <alignment horizontal="right" vertical="center" wrapText="1"/>
      <protection locked="0" hidden="1"/>
    </xf>
    <xf numFmtId="44" fontId="3" fillId="4" borderId="23" xfId="1" applyFont="1" applyFill="1" applyBorder="1" applyAlignment="1" applyProtection="1">
      <alignment horizontal="center" vertical="center"/>
      <protection hidden="1"/>
    </xf>
    <xf numFmtId="44" fontId="3" fillId="4" borderId="29" xfId="1" applyFont="1" applyFill="1" applyBorder="1" applyAlignment="1" applyProtection="1">
      <alignment horizontal="center" vertical="center"/>
      <protection hidden="1"/>
    </xf>
    <xf numFmtId="14" fontId="3" fillId="2" borderId="2" xfId="0" applyNumberFormat="1" applyFont="1" applyFill="1" applyBorder="1" applyAlignment="1" applyProtection="1">
      <alignment horizontal="left" vertical="center" wrapText="1"/>
      <protection locked="0"/>
    </xf>
    <xf numFmtId="14" fontId="3" fillId="2" borderId="3" xfId="0" applyNumberFormat="1" applyFont="1" applyFill="1" applyBorder="1" applyAlignment="1" applyProtection="1">
      <alignment horizontal="left" vertical="center" wrapText="1"/>
      <protection locked="0"/>
    </xf>
    <xf numFmtId="14" fontId="3" fillId="2" borderId="4" xfId="0" applyNumberFormat="1" applyFont="1" applyFill="1" applyBorder="1" applyAlignment="1" applyProtection="1">
      <alignment horizontal="left" vertical="center" wrapText="1"/>
      <protection locked="0"/>
    </xf>
    <xf numFmtId="0" fontId="3" fillId="3" borderId="2" xfId="0" applyFont="1" applyFill="1" applyBorder="1" applyAlignment="1" applyProtection="1">
      <alignment horizontal="right" vertical="center" wrapText="1"/>
      <protection hidden="1"/>
    </xf>
    <xf numFmtId="0" fontId="3" fillId="3" borderId="4" xfId="0" applyFont="1" applyFill="1" applyBorder="1" applyAlignment="1" applyProtection="1">
      <alignment horizontal="right" vertical="center" wrapText="1"/>
      <protection hidden="1"/>
    </xf>
    <xf numFmtId="0" fontId="4" fillId="0" borderId="10" xfId="0" applyFont="1" applyBorder="1" applyAlignment="1" applyProtection="1">
      <alignment horizontal="left" vertical="center" wrapText="1"/>
      <protection hidden="1"/>
    </xf>
    <xf numFmtId="0" fontId="4" fillId="0" borderId="7" xfId="0" applyFont="1" applyBorder="1" applyAlignment="1" applyProtection="1">
      <alignment horizontal="left" vertical="center" wrapText="1"/>
      <protection hidden="1"/>
    </xf>
    <xf numFmtId="0" fontId="4" fillId="0" borderId="11" xfId="0" applyFont="1" applyBorder="1" applyAlignment="1" applyProtection="1">
      <alignment horizontal="left" vertical="center" wrapText="1"/>
      <protection hidden="1"/>
    </xf>
    <xf numFmtId="10" fontId="3" fillId="0" borderId="14" xfId="4" applyNumberFormat="1" applyFont="1" applyBorder="1" applyAlignment="1" applyProtection="1">
      <alignment horizontal="right" vertical="center" wrapText="1"/>
      <protection hidden="1"/>
    </xf>
    <xf numFmtId="10" fontId="3" fillId="0" borderId="16" xfId="4" applyNumberFormat="1" applyFont="1" applyBorder="1" applyAlignment="1" applyProtection="1">
      <alignment horizontal="right" vertical="center" wrapText="1"/>
      <protection hidden="1"/>
    </xf>
    <xf numFmtId="10" fontId="3" fillId="0" borderId="21" xfId="0" applyNumberFormat="1" applyFont="1" applyBorder="1" applyAlignment="1" applyProtection="1">
      <alignment horizontal="right" vertical="center" wrapText="1"/>
      <protection hidden="1"/>
    </xf>
    <xf numFmtId="10" fontId="3" fillId="0" borderId="22" xfId="0" applyNumberFormat="1" applyFont="1" applyBorder="1" applyAlignment="1" applyProtection="1">
      <alignment horizontal="right" vertical="center" wrapText="1"/>
      <protection hidden="1"/>
    </xf>
    <xf numFmtId="0" fontId="4" fillId="0" borderId="44" xfId="0" applyFont="1" applyBorder="1" applyAlignment="1" applyProtection="1">
      <alignment horizontal="left" vertical="center" wrapText="1"/>
      <protection hidden="1"/>
    </xf>
    <xf numFmtId="0" fontId="3" fillId="0" borderId="46" xfId="0" applyFont="1" applyBorder="1" applyAlignment="1" applyProtection="1">
      <alignment horizontal="left" vertical="center" wrapText="1"/>
      <protection hidden="1"/>
    </xf>
    <xf numFmtId="0" fontId="3" fillId="0" borderId="1" xfId="0" applyFont="1" applyBorder="1" applyAlignment="1" applyProtection="1">
      <alignment horizontal="left" vertical="center" wrapText="1"/>
      <protection hidden="1"/>
    </xf>
    <xf numFmtId="0" fontId="3" fillId="0" borderId="22" xfId="0" applyFont="1" applyBorder="1" applyAlignment="1" applyProtection="1">
      <alignment horizontal="left" vertical="center" wrapText="1"/>
      <protection hidden="1"/>
    </xf>
    <xf numFmtId="0" fontId="3" fillId="2" borderId="2" xfId="0" applyFont="1" applyFill="1" applyBorder="1" applyAlignment="1" applyProtection="1">
      <alignment horizontal="center" vertical="center" wrapText="1"/>
      <protection locked="0"/>
    </xf>
    <xf numFmtId="0" fontId="3" fillId="2" borderId="3" xfId="0" applyFont="1" applyFill="1" applyBorder="1" applyAlignment="1" applyProtection="1">
      <alignment horizontal="center" vertical="center" wrapText="1"/>
      <protection locked="0"/>
    </xf>
    <xf numFmtId="0" fontId="3" fillId="2" borderId="4" xfId="0" applyFont="1" applyFill="1" applyBorder="1" applyAlignment="1" applyProtection="1">
      <alignment horizontal="center" vertical="center" wrapText="1"/>
      <protection locked="0"/>
    </xf>
    <xf numFmtId="0" fontId="3" fillId="0" borderId="37" xfId="0" applyFont="1" applyBorder="1" applyAlignment="1" applyProtection="1">
      <alignment horizontal="right" vertical="center"/>
      <protection hidden="1"/>
    </xf>
    <xf numFmtId="44" fontId="3" fillId="0" borderId="14" xfId="1" applyFont="1" applyFill="1" applyBorder="1" applyAlignment="1" applyProtection="1">
      <alignment horizontal="center" vertical="center"/>
      <protection hidden="1"/>
    </xf>
    <xf numFmtId="44" fontId="3" fillId="0" borderId="15" xfId="1" applyFont="1" applyFill="1" applyBorder="1" applyAlignment="1" applyProtection="1">
      <alignment horizontal="center" vertical="center"/>
      <protection hidden="1"/>
    </xf>
    <xf numFmtId="44" fontId="3" fillId="0" borderId="36" xfId="1" applyFont="1" applyFill="1" applyBorder="1" applyAlignment="1" applyProtection="1">
      <alignment horizontal="center" vertical="center"/>
      <protection hidden="1"/>
    </xf>
    <xf numFmtId="10" fontId="3" fillId="2" borderId="21" xfId="0" applyNumberFormat="1" applyFont="1" applyFill="1" applyBorder="1" applyAlignment="1" applyProtection="1">
      <alignment horizontal="right" vertical="center" wrapText="1"/>
      <protection locked="0"/>
    </xf>
    <xf numFmtId="10" fontId="3" fillId="2" borderId="22" xfId="0" applyNumberFormat="1" applyFont="1" applyFill="1" applyBorder="1" applyAlignment="1" applyProtection="1">
      <alignment horizontal="right" vertical="center" wrapText="1"/>
      <protection locked="0"/>
    </xf>
    <xf numFmtId="10" fontId="3" fillId="2" borderId="2" xfId="0" applyNumberFormat="1" applyFont="1" applyFill="1" applyBorder="1" applyAlignment="1" applyProtection="1">
      <alignment horizontal="right" vertical="center" wrapText="1"/>
      <protection locked="0"/>
    </xf>
    <xf numFmtId="10" fontId="3" fillId="2" borderId="4" xfId="0" applyNumberFormat="1" applyFont="1" applyFill="1" applyBorder="1" applyAlignment="1" applyProtection="1">
      <alignment horizontal="right" vertical="center" wrapText="1"/>
      <protection locked="0"/>
    </xf>
    <xf numFmtId="0" fontId="3" fillId="0" borderId="21" xfId="0" applyFont="1" applyBorder="1" applyAlignment="1" applyProtection="1">
      <alignment horizontal="left" vertical="center" wrapText="1"/>
      <protection hidden="1"/>
    </xf>
    <xf numFmtId="10" fontId="3" fillId="2" borderId="2" xfId="4" applyNumberFormat="1" applyFont="1" applyFill="1" applyBorder="1" applyAlignment="1" applyProtection="1">
      <alignment horizontal="right" vertical="center" wrapText="1"/>
      <protection locked="0"/>
    </xf>
    <xf numFmtId="10" fontId="3" fillId="2" borderId="4" xfId="4" applyNumberFormat="1" applyFont="1" applyFill="1" applyBorder="1" applyAlignment="1" applyProtection="1">
      <alignment horizontal="right" vertical="center" wrapText="1"/>
      <protection locked="0"/>
    </xf>
    <xf numFmtId="0" fontId="3" fillId="2" borderId="2" xfId="0" applyFont="1" applyFill="1" applyBorder="1" applyAlignment="1" applyProtection="1">
      <alignment horizontal="left" vertical="center" wrapText="1"/>
      <protection locked="0"/>
    </xf>
    <xf numFmtId="0" fontId="3" fillId="2" borderId="3" xfId="0" applyFont="1" applyFill="1" applyBorder="1" applyAlignment="1" applyProtection="1">
      <alignment horizontal="left" vertical="center" wrapText="1"/>
      <protection locked="0"/>
    </xf>
    <xf numFmtId="0" fontId="3" fillId="2" borderId="4" xfId="0" applyFont="1" applyFill="1" applyBorder="1" applyAlignment="1" applyProtection="1">
      <alignment horizontal="left" vertical="center" wrapText="1"/>
      <protection locked="0"/>
    </xf>
    <xf numFmtId="0" fontId="13" fillId="0" borderId="43" xfId="0" applyFont="1" applyBorder="1" applyAlignment="1" applyProtection="1">
      <alignment horizontal="left" vertical="center"/>
      <protection hidden="1"/>
    </xf>
    <xf numFmtId="0" fontId="2" fillId="0" borderId="2" xfId="0" applyFont="1" applyBorder="1" applyAlignment="1" applyProtection="1">
      <alignment horizontal="right" vertical="center"/>
      <protection hidden="1"/>
    </xf>
    <xf numFmtId="0" fontId="2" fillId="0" borderId="3" xfId="0" applyFont="1" applyBorder="1" applyAlignment="1" applyProtection="1">
      <alignment horizontal="right" vertical="center"/>
      <protection hidden="1"/>
    </xf>
    <xf numFmtId="2" fontId="13" fillId="0" borderId="2" xfId="0" applyNumberFormat="1" applyFont="1" applyBorder="1" applyAlignment="1" applyProtection="1">
      <alignment horizontal="left" vertical="center" wrapText="1"/>
      <protection hidden="1"/>
    </xf>
    <xf numFmtId="2" fontId="13" fillId="0" borderId="3" xfId="0" applyNumberFormat="1" applyFont="1" applyBorder="1" applyAlignment="1" applyProtection="1">
      <alignment horizontal="left" vertical="center"/>
      <protection hidden="1"/>
    </xf>
    <xf numFmtId="2" fontId="13" fillId="0" borderId="4" xfId="0" applyNumberFormat="1" applyFont="1" applyBorder="1" applyAlignment="1" applyProtection="1">
      <alignment horizontal="left" vertical="center"/>
      <protection hidden="1"/>
    </xf>
    <xf numFmtId="0" fontId="3" fillId="2" borderId="2" xfId="0" applyFont="1" applyFill="1" applyBorder="1" applyAlignment="1" applyProtection="1">
      <alignment horizontal="center" vertical="center"/>
      <protection locked="0" hidden="1"/>
    </xf>
    <xf numFmtId="0" fontId="3" fillId="2" borderId="3" xfId="0" applyFont="1" applyFill="1" applyBorder="1" applyAlignment="1" applyProtection="1">
      <alignment horizontal="center" vertical="center"/>
      <protection locked="0" hidden="1"/>
    </xf>
    <xf numFmtId="0" fontId="3" fillId="2" borderId="4" xfId="0" applyFont="1" applyFill="1" applyBorder="1" applyAlignment="1" applyProtection="1">
      <alignment horizontal="center" vertical="center"/>
      <protection locked="0" hidden="1"/>
    </xf>
    <xf numFmtId="2" fontId="13" fillId="0" borderId="2" xfId="0" applyNumberFormat="1" applyFont="1" applyBorder="1" applyAlignment="1" applyProtection="1">
      <alignment horizontal="left" vertical="center"/>
      <protection hidden="1"/>
    </xf>
    <xf numFmtId="0" fontId="3" fillId="2" borderId="2" xfId="2" applyFont="1" applyFill="1" applyBorder="1" applyAlignment="1" applyProtection="1">
      <alignment horizontal="left" vertical="center" wrapText="1"/>
      <protection locked="0"/>
    </xf>
    <xf numFmtId="0" fontId="3" fillId="2" borderId="3" xfId="2" applyFont="1" applyFill="1" applyBorder="1" applyAlignment="1" applyProtection="1">
      <alignment horizontal="left" vertical="center" wrapText="1"/>
      <protection locked="0"/>
    </xf>
    <xf numFmtId="0" fontId="3" fillId="2" borderId="4" xfId="2" applyFont="1" applyFill="1" applyBorder="1" applyAlignment="1" applyProtection="1">
      <alignment horizontal="left" vertical="center" wrapText="1"/>
      <protection locked="0"/>
    </xf>
    <xf numFmtId="0" fontId="3" fillId="0" borderId="43" xfId="0" applyFont="1" applyBorder="1" applyAlignment="1" applyProtection="1">
      <alignment horizontal="left" vertical="center"/>
      <protection hidden="1"/>
    </xf>
    <xf numFmtId="0" fontId="4" fillId="2" borderId="3" xfId="0" applyFont="1" applyFill="1" applyBorder="1" applyAlignment="1" applyProtection="1">
      <alignment horizontal="right" vertical="center"/>
      <protection locked="0"/>
    </xf>
    <xf numFmtId="0" fontId="4" fillId="2" borderId="4" xfId="0" applyFont="1" applyFill="1" applyBorder="1" applyAlignment="1" applyProtection="1">
      <alignment horizontal="right" vertical="center"/>
      <protection locked="0"/>
    </xf>
    <xf numFmtId="0" fontId="24" fillId="0" borderId="0" xfId="0" applyFont="1" applyAlignment="1">
      <alignment horizontal="center"/>
    </xf>
    <xf numFmtId="0" fontId="13" fillId="0" borderId="0" xfId="0" applyFont="1" applyAlignment="1">
      <alignment horizontal="left" vertical="top" wrapText="1"/>
    </xf>
    <xf numFmtId="0" fontId="4" fillId="0" borderId="2" xfId="0" applyFont="1" applyBorder="1" applyAlignment="1" applyProtection="1">
      <alignment horizontal="center" vertical="center" wrapText="1"/>
      <protection hidden="1"/>
    </xf>
    <xf numFmtId="0" fontId="0" fillId="0" borderId="4"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cellXfs>
  <cellStyles count="5">
    <cellStyle name="Link" xfId="2" builtinId="8"/>
    <cellStyle name="Prozent" xfId="4" builtinId="5"/>
    <cellStyle name="Standard" xfId="0" builtinId="0"/>
    <cellStyle name="Standard 2" xfId="3" xr:uid="{00000000-0005-0000-0000-000003000000}"/>
    <cellStyle name="Währung" xfId="1" builtinId="4"/>
  </cellStyles>
  <dxfs count="6">
    <dxf>
      <font>
        <color theme="1"/>
      </font>
      <fill>
        <patternFill>
          <bgColor rgb="FFEF8E53"/>
        </patternFill>
      </fill>
    </dxf>
    <dxf>
      <font>
        <color auto="1"/>
      </font>
      <fill>
        <patternFill>
          <bgColor rgb="FFEF8E53"/>
        </patternFill>
      </fill>
    </dxf>
    <dxf>
      <fill>
        <patternFill>
          <bgColor rgb="FFEF8E53"/>
        </patternFill>
      </fill>
    </dxf>
    <dxf>
      <font>
        <color theme="1"/>
      </font>
      <fill>
        <patternFill>
          <bgColor rgb="FFEF8E53"/>
        </patternFill>
      </fill>
    </dxf>
    <dxf>
      <font>
        <color auto="1"/>
      </font>
      <fill>
        <patternFill>
          <bgColor rgb="FFEF8E53"/>
        </patternFill>
      </fill>
    </dxf>
    <dxf>
      <fill>
        <patternFill>
          <bgColor rgb="FFEF8E53"/>
        </patternFill>
      </fill>
    </dxf>
  </dxfs>
  <tableStyles count="0" defaultTableStyle="TableStyleMedium2" defaultPivotStyle="PivotStyleLight16"/>
  <colors>
    <mruColors>
      <color rgb="FFE331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18</xdr:col>
          <xdr:colOff>184150</xdr:colOff>
          <xdr:row>48</xdr:row>
          <xdr:rowOff>0</xdr:rowOff>
        </xdr:from>
        <xdr:to>
          <xdr:col>18</xdr:col>
          <xdr:colOff>565150</xdr:colOff>
          <xdr:row>49</xdr:row>
          <xdr:rowOff>76200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2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DE" sz="800" b="0" i="0" u="none" strike="noStrike" baseline="0">
                  <a:solidFill>
                    <a:srgbClr val="000000"/>
                  </a:solidFill>
                  <a:latin typeface="Segoe UI"/>
                  <a:cs typeface="Segoe UI"/>
                </a:rPr>
                <a:t>Ja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48</xdr:row>
          <xdr:rowOff>0</xdr:rowOff>
        </xdr:from>
        <xdr:to>
          <xdr:col>20</xdr:col>
          <xdr:colOff>533400</xdr:colOff>
          <xdr:row>49</xdr:row>
          <xdr:rowOff>19050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2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DE" sz="800" b="0" i="0" u="none" strike="noStrike" baseline="0">
                  <a:solidFill>
                    <a:srgbClr val="000000"/>
                  </a:solidFill>
                  <a:latin typeface="Segoe UI"/>
                  <a:cs typeface="Segoe UI"/>
                </a:rPr>
                <a:t>Nein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184150</xdr:colOff>
          <xdr:row>48</xdr:row>
          <xdr:rowOff>184150</xdr:rowOff>
        </xdr:from>
        <xdr:to>
          <xdr:col>18</xdr:col>
          <xdr:colOff>565150</xdr:colOff>
          <xdr:row>50</xdr:row>
          <xdr:rowOff>82550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2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DE" sz="800" b="0" i="0" u="none" strike="noStrike" baseline="0">
                  <a:solidFill>
                    <a:srgbClr val="000000"/>
                  </a:solidFill>
                  <a:latin typeface="Segoe UI"/>
                  <a:cs typeface="Segoe UI"/>
                </a:rPr>
                <a:t>Ja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48</xdr:row>
          <xdr:rowOff>190500</xdr:rowOff>
        </xdr:from>
        <xdr:to>
          <xdr:col>20</xdr:col>
          <xdr:colOff>533400</xdr:colOff>
          <xdr:row>50</xdr:row>
          <xdr:rowOff>95250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2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DE" sz="800" b="0" i="0" u="none" strike="noStrike" baseline="0">
                  <a:solidFill>
                    <a:srgbClr val="000000"/>
                  </a:solidFill>
                  <a:latin typeface="Segoe UI"/>
                  <a:cs typeface="Segoe UI"/>
                </a:rPr>
                <a:t>Nein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184150</xdr:colOff>
          <xdr:row>49</xdr:row>
          <xdr:rowOff>184150</xdr:rowOff>
        </xdr:from>
        <xdr:to>
          <xdr:col>18</xdr:col>
          <xdr:colOff>565150</xdr:colOff>
          <xdr:row>51</xdr:row>
          <xdr:rowOff>82550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2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DE" sz="800" b="0" i="0" u="none" strike="noStrike" baseline="0">
                  <a:solidFill>
                    <a:srgbClr val="000000"/>
                  </a:solidFill>
                  <a:latin typeface="Segoe UI"/>
                  <a:cs typeface="Segoe UI"/>
                </a:rPr>
                <a:t>Ja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49</xdr:row>
          <xdr:rowOff>190500</xdr:rowOff>
        </xdr:from>
        <xdr:to>
          <xdr:col>20</xdr:col>
          <xdr:colOff>533400</xdr:colOff>
          <xdr:row>51</xdr:row>
          <xdr:rowOff>95250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2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DE" sz="800" b="0" i="0" u="none" strike="noStrike" baseline="0">
                  <a:solidFill>
                    <a:srgbClr val="000000"/>
                  </a:solidFill>
                  <a:latin typeface="Segoe UI"/>
                  <a:cs typeface="Segoe UI"/>
                </a:rPr>
                <a:t>Nein</a:t>
              </a:r>
            </a:p>
          </xdr:txBody>
        </xdr:sp>
        <xdr:clientData/>
      </xdr:twoCellAnchor>
    </mc:Choice>
    <mc:Fallback/>
  </mc:AlternateContent>
</xdr:wsDr>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4.xml"/><Relationship Id="rId3" Type="http://schemas.openxmlformats.org/officeDocument/2006/relationships/vmlDrawing" Target="../drawings/vmlDrawing3.vml"/><Relationship Id="rId7" Type="http://schemas.openxmlformats.org/officeDocument/2006/relationships/ctrlProp" Target="../ctrlProps/ctrlProp3.x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ctrlProp" Target="../ctrlProps/ctrlProp2.xml"/><Relationship Id="rId11" Type="http://schemas.openxmlformats.org/officeDocument/2006/relationships/comments" Target="../comments1.xml"/><Relationship Id="rId5" Type="http://schemas.openxmlformats.org/officeDocument/2006/relationships/ctrlProp" Target="../ctrlProps/ctrlProp1.xml"/><Relationship Id="rId10" Type="http://schemas.openxmlformats.org/officeDocument/2006/relationships/ctrlProp" Target="../ctrlProps/ctrlProp6.xml"/><Relationship Id="rId4" Type="http://schemas.openxmlformats.org/officeDocument/2006/relationships/vmlDrawing" Target="../drawings/vmlDrawing4.vml"/><Relationship Id="rId9"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3">
    <pageSetUpPr fitToPage="1"/>
  </sheetPr>
  <dimension ref="A1:B41"/>
  <sheetViews>
    <sheetView showGridLines="0" tabSelected="1" zoomScaleNormal="100" zoomScaleSheetLayoutView="130" zoomScalePageLayoutView="70" workbookViewId="0">
      <selection activeCell="E7" sqref="E7:I7"/>
    </sheetView>
  </sheetViews>
  <sheetFormatPr baseColWidth="10" defaultColWidth="11.453125" defaultRowHeight="11.5" x14ac:dyDescent="0.3"/>
  <cols>
    <col min="1" max="1" width="115.1796875" style="83" customWidth="1"/>
    <col min="2" max="16384" width="11.453125" style="83"/>
  </cols>
  <sheetData>
    <row r="1" spans="1:2" ht="40" customHeight="1" x14ac:dyDescent="0.3">
      <c r="A1" s="279" t="s">
        <v>0</v>
      </c>
    </row>
    <row r="2" spans="1:2" ht="40" customHeight="1" x14ac:dyDescent="0.3">
      <c r="A2" s="279"/>
      <c r="B2" s="278"/>
    </row>
    <row r="3" spans="1:2" ht="40" customHeight="1" x14ac:dyDescent="0.3">
      <c r="A3" s="279"/>
      <c r="B3" s="278"/>
    </row>
    <row r="4" spans="1:2" ht="40" customHeight="1" x14ac:dyDescent="0.3">
      <c r="A4" s="279"/>
      <c r="B4" s="278"/>
    </row>
    <row r="5" spans="1:2" ht="40" customHeight="1" x14ac:dyDescent="0.3">
      <c r="A5" s="279"/>
      <c r="B5" s="278"/>
    </row>
    <row r="6" spans="1:2" ht="40" customHeight="1" x14ac:dyDescent="0.3">
      <c r="A6" s="279"/>
      <c r="B6" s="278"/>
    </row>
    <row r="7" spans="1:2" ht="40" customHeight="1" x14ac:dyDescent="0.3">
      <c r="A7" s="279"/>
      <c r="B7" s="278"/>
    </row>
    <row r="8" spans="1:2" ht="40" customHeight="1" x14ac:dyDescent="0.3">
      <c r="A8" s="279"/>
      <c r="B8" s="278"/>
    </row>
    <row r="9" spans="1:2" ht="40" customHeight="1" x14ac:dyDescent="0.3">
      <c r="A9" s="279"/>
      <c r="B9" s="278"/>
    </row>
    <row r="10" spans="1:2" ht="40" customHeight="1" x14ac:dyDescent="0.3">
      <c r="A10" s="279"/>
      <c r="B10" s="278"/>
    </row>
    <row r="11" spans="1:2" ht="40" customHeight="1" x14ac:dyDescent="0.3">
      <c r="A11" s="279"/>
      <c r="B11" s="278"/>
    </row>
    <row r="12" spans="1:2" ht="40" customHeight="1" x14ac:dyDescent="0.3">
      <c r="A12" s="279"/>
      <c r="B12" s="278"/>
    </row>
    <row r="13" spans="1:2" ht="40" customHeight="1" x14ac:dyDescent="0.3">
      <c r="A13" s="279"/>
      <c r="B13" s="278"/>
    </row>
    <row r="14" spans="1:2" ht="40" customHeight="1" x14ac:dyDescent="0.3">
      <c r="A14" s="279"/>
      <c r="B14" s="278"/>
    </row>
    <row r="15" spans="1:2" ht="40" customHeight="1" x14ac:dyDescent="0.3">
      <c r="A15" s="279"/>
      <c r="B15" s="278"/>
    </row>
    <row r="16" spans="1:2" ht="40" customHeight="1" x14ac:dyDescent="0.3">
      <c r="A16" s="279"/>
      <c r="B16" s="278"/>
    </row>
    <row r="17" spans="1:2" ht="40" customHeight="1" x14ac:dyDescent="0.3">
      <c r="A17" s="279"/>
      <c r="B17" s="278"/>
    </row>
    <row r="18" spans="1:2" ht="40" customHeight="1" x14ac:dyDescent="0.3">
      <c r="A18" s="279"/>
    </row>
    <row r="19" spans="1:2" ht="40" customHeight="1" x14ac:dyDescent="0.3">
      <c r="A19" s="279"/>
    </row>
    <row r="20" spans="1:2" ht="40" customHeight="1" x14ac:dyDescent="0.3">
      <c r="A20" s="279"/>
    </row>
    <row r="21" spans="1:2" ht="40" customHeight="1" x14ac:dyDescent="0.3">
      <c r="A21" s="279"/>
    </row>
    <row r="22" spans="1:2" ht="40" customHeight="1" x14ac:dyDescent="0.3">
      <c r="A22" s="279"/>
    </row>
    <row r="23" spans="1:2" ht="40" customHeight="1" x14ac:dyDescent="0.3">
      <c r="A23" s="279"/>
    </row>
    <row r="24" spans="1:2" ht="40" customHeight="1" x14ac:dyDescent="0.3">
      <c r="A24" s="279"/>
    </row>
    <row r="25" spans="1:2" ht="40" customHeight="1" x14ac:dyDescent="0.3">
      <c r="A25" s="82"/>
    </row>
    <row r="26" spans="1:2" ht="40" customHeight="1" x14ac:dyDescent="0.3">
      <c r="A26" s="82"/>
    </row>
    <row r="27" spans="1:2" ht="40" customHeight="1" x14ac:dyDescent="0.3">
      <c r="A27" s="82"/>
    </row>
    <row r="28" spans="1:2" ht="40" customHeight="1" x14ac:dyDescent="0.3">
      <c r="A28" s="82"/>
    </row>
    <row r="29" spans="1:2" ht="40" customHeight="1" x14ac:dyDescent="0.3">
      <c r="A29" s="82"/>
    </row>
    <row r="30" spans="1:2" ht="40" customHeight="1" x14ac:dyDescent="0.3">
      <c r="A30" s="82"/>
    </row>
    <row r="31" spans="1:2" ht="40" customHeight="1" x14ac:dyDescent="0.3">
      <c r="A31" s="82"/>
    </row>
    <row r="32" spans="1:2" ht="40" customHeight="1" x14ac:dyDescent="0.3">
      <c r="A32" s="82"/>
    </row>
    <row r="33" spans="1:1" ht="40" customHeight="1" x14ac:dyDescent="0.3">
      <c r="A33" s="82"/>
    </row>
    <row r="34" spans="1:1" ht="40" customHeight="1" x14ac:dyDescent="0.3">
      <c r="A34" s="82"/>
    </row>
    <row r="35" spans="1:1" ht="40" customHeight="1" x14ac:dyDescent="0.3">
      <c r="A35" s="82"/>
    </row>
    <row r="36" spans="1:1" ht="40" customHeight="1" x14ac:dyDescent="0.3">
      <c r="A36" s="82"/>
    </row>
    <row r="37" spans="1:1" ht="40" customHeight="1" x14ac:dyDescent="0.3">
      <c r="A37" s="82"/>
    </row>
    <row r="38" spans="1:1" ht="40" customHeight="1" x14ac:dyDescent="0.3">
      <c r="A38" s="82"/>
    </row>
    <row r="39" spans="1:1" ht="40" customHeight="1" x14ac:dyDescent="0.3">
      <c r="A39" s="82"/>
    </row>
    <row r="40" spans="1:1" ht="40" customHeight="1" x14ac:dyDescent="0.3">
      <c r="A40" s="82"/>
    </row>
    <row r="41" spans="1:1" x14ac:dyDescent="0.3">
      <c r="A41" s="84"/>
    </row>
  </sheetData>
  <sheetProtection algorithmName="SHA-512" hashValue="CmmRPfERq4f5tDgtwnaFg3HrgKD1sMQwQrZ5h6NoK8mQh0rnyaq+kGeASz7EUuuTCfV3E+zssDptVJsMqxQKsw==" saltValue="P+gdTHYcDvzTQbnMvPpogw==" spinCount="100000" sheet="1" formatCells="0" formatColumns="0" formatRows="0" selectLockedCells="1"/>
  <mergeCells count="3">
    <mergeCell ref="B15:B17"/>
    <mergeCell ref="B2:B14"/>
    <mergeCell ref="A1:A24"/>
  </mergeCells>
  <pageMargins left="0.59055118110236227" right="0.43307086614173229" top="0.94488188976377963" bottom="0.35433070866141736" header="0.31496062992125984" footer="0.19685039370078741"/>
  <pageSetup paperSize="9" scale="77" fitToWidth="0" orientation="portrait" r:id="rId1"/>
  <headerFooter>
    <oddHeader>&amp;R&amp;G</oddHeader>
    <oddFooter>&amp;L&amp;9V. 1.02
Stand 10.08.2026</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5D3A1-BA74-45B8-8D5F-51BEC96ECAAA}">
  <sheetPr>
    <pageSetUpPr fitToPage="1"/>
  </sheetPr>
  <dimension ref="A1:I16"/>
  <sheetViews>
    <sheetView showGridLines="0" zoomScaleNormal="100" workbookViewId="0">
      <selection activeCell="E7" sqref="E7:I7"/>
    </sheetView>
  </sheetViews>
  <sheetFormatPr baseColWidth="10" defaultColWidth="11.453125" defaultRowHeight="14.5" x14ac:dyDescent="0.35"/>
  <cols>
    <col min="1" max="1" width="4.453125" bestFit="1" customWidth="1"/>
    <col min="2" max="2" width="24.54296875" customWidth="1"/>
    <col min="3" max="3" width="32.1796875" customWidth="1"/>
    <col min="4" max="4" width="13.54296875" customWidth="1"/>
    <col min="5" max="5" width="12.1796875" customWidth="1"/>
    <col min="6" max="6" width="11.54296875" customWidth="1"/>
    <col min="7" max="8" width="11.1796875" customWidth="1"/>
    <col min="9" max="9" width="12.54296875" customWidth="1"/>
  </cols>
  <sheetData>
    <row r="1" spans="1:9" ht="15.5" x14ac:dyDescent="0.35">
      <c r="A1" s="122" t="s">
        <v>1</v>
      </c>
      <c r="B1" s="112"/>
      <c r="C1" s="112"/>
      <c r="D1" s="112"/>
      <c r="E1" s="112"/>
      <c r="F1" s="112"/>
      <c r="G1" s="112"/>
      <c r="H1" s="112"/>
      <c r="I1" s="112"/>
    </row>
    <row r="2" spans="1:9" ht="15.5" x14ac:dyDescent="0.35">
      <c r="A2" s="112"/>
      <c r="B2" s="112"/>
      <c r="C2" s="112"/>
      <c r="D2" s="112"/>
      <c r="E2" s="112"/>
      <c r="F2" s="112"/>
      <c r="G2" s="112"/>
      <c r="H2" s="112"/>
      <c r="I2" s="112"/>
    </row>
    <row r="3" spans="1:9" ht="15.5" x14ac:dyDescent="0.35">
      <c r="A3" s="113"/>
      <c r="B3" s="113"/>
      <c r="C3" s="113"/>
      <c r="D3" s="113"/>
      <c r="E3" s="113"/>
      <c r="F3" s="113"/>
      <c r="G3" s="113"/>
      <c r="H3" s="113"/>
      <c r="I3" s="113"/>
    </row>
    <row r="4" spans="1:9" ht="27" customHeight="1" x14ac:dyDescent="0.35">
      <c r="A4" s="114" t="s">
        <v>2</v>
      </c>
      <c r="B4" s="115" t="s">
        <v>3</v>
      </c>
      <c r="C4" s="116" t="s">
        <v>4</v>
      </c>
      <c r="D4" s="280" t="s">
        <v>5</v>
      </c>
      <c r="E4" s="281"/>
      <c r="F4" s="280" t="s">
        <v>6</v>
      </c>
      <c r="G4" s="282"/>
      <c r="H4" s="282"/>
      <c r="I4" s="283"/>
    </row>
    <row r="5" spans="1:9" ht="27" customHeight="1" x14ac:dyDescent="0.35">
      <c r="A5" s="114"/>
      <c r="B5" s="115"/>
      <c r="C5" s="116"/>
      <c r="D5" s="115" t="s">
        <v>7</v>
      </c>
      <c r="E5" s="115" t="s">
        <v>8</v>
      </c>
      <c r="F5" s="49" t="s">
        <v>9</v>
      </c>
      <c r="G5" s="49" t="s">
        <v>10</v>
      </c>
      <c r="H5" s="49" t="s">
        <v>11</v>
      </c>
      <c r="I5" s="49" t="s">
        <v>12</v>
      </c>
    </row>
    <row r="6" spans="1:9" ht="70" customHeight="1" x14ac:dyDescent="0.35">
      <c r="A6" s="50">
        <v>1</v>
      </c>
      <c r="B6" s="111"/>
      <c r="C6" s="111"/>
      <c r="D6" s="51"/>
      <c r="E6" s="51"/>
      <c r="F6" s="52"/>
      <c r="G6" s="52"/>
      <c r="H6" s="52"/>
      <c r="I6" s="52"/>
    </row>
    <row r="7" spans="1:9" ht="70" customHeight="1" x14ac:dyDescent="0.35">
      <c r="A7" s="50">
        <v>2</v>
      </c>
      <c r="B7" s="111"/>
      <c r="C7" s="111"/>
      <c r="D7" s="51"/>
      <c r="E7" s="51"/>
      <c r="F7" s="52"/>
      <c r="G7" s="52"/>
      <c r="H7" s="52"/>
      <c r="I7" s="52"/>
    </row>
    <row r="8" spans="1:9" ht="70" customHeight="1" x14ac:dyDescent="0.35">
      <c r="A8" s="50">
        <v>3</v>
      </c>
      <c r="B8" s="111"/>
      <c r="C8" s="111"/>
      <c r="D8" s="51"/>
      <c r="E8" s="51"/>
      <c r="F8" s="52"/>
      <c r="G8" s="52"/>
      <c r="H8" s="52"/>
      <c r="I8" s="52"/>
    </row>
    <row r="9" spans="1:9" ht="70" customHeight="1" x14ac:dyDescent="0.35">
      <c r="A9" s="50">
        <v>4</v>
      </c>
      <c r="B9" s="111"/>
      <c r="C9" s="111"/>
      <c r="D9" s="51"/>
      <c r="E9" s="51"/>
      <c r="F9" s="52"/>
      <c r="G9" s="52"/>
      <c r="H9" s="52"/>
      <c r="I9" s="52"/>
    </row>
    <row r="10" spans="1:9" x14ac:dyDescent="0.35">
      <c r="A10" s="53" t="s">
        <v>13</v>
      </c>
      <c r="B10" s="54" t="s">
        <v>14</v>
      </c>
      <c r="C10" s="54"/>
      <c r="D10" s="54"/>
      <c r="E10" s="54"/>
      <c r="F10" s="54"/>
      <c r="G10" s="54"/>
      <c r="H10" s="54"/>
      <c r="I10" s="55"/>
    </row>
    <row r="11" spans="1:9" x14ac:dyDescent="0.35">
      <c r="A11" s="53" t="s">
        <v>15</v>
      </c>
      <c r="B11" s="54" t="s">
        <v>16</v>
      </c>
      <c r="C11" s="54"/>
      <c r="D11" s="54"/>
      <c r="E11" s="54"/>
      <c r="F11" s="54"/>
      <c r="G11" s="54"/>
      <c r="H11" s="54"/>
      <c r="I11" s="55"/>
    </row>
    <row r="12" spans="1:9" x14ac:dyDescent="0.35">
      <c r="A12" s="56"/>
      <c r="B12" s="56"/>
      <c r="C12" s="56"/>
      <c r="D12" s="56"/>
      <c r="E12" s="56"/>
      <c r="F12" s="56"/>
      <c r="G12" s="56"/>
      <c r="H12" s="56"/>
      <c r="I12" s="56"/>
    </row>
    <row r="13" spans="1:9" x14ac:dyDescent="0.35">
      <c r="A13" s="56"/>
      <c r="B13" s="56"/>
      <c r="C13" s="56"/>
      <c r="D13" s="56"/>
      <c r="E13" s="56"/>
      <c r="F13" s="56"/>
      <c r="G13" s="56"/>
      <c r="H13" s="56"/>
      <c r="I13" s="56"/>
    </row>
    <row r="14" spans="1:9" x14ac:dyDescent="0.35">
      <c r="A14" s="56"/>
      <c r="B14" s="56"/>
      <c r="C14" s="56"/>
      <c r="D14" s="56"/>
      <c r="E14" s="56"/>
      <c r="F14" s="56"/>
      <c r="G14" s="56"/>
      <c r="H14" s="56"/>
      <c r="I14" s="56"/>
    </row>
    <row r="15" spans="1:9" ht="19" customHeight="1" x14ac:dyDescent="0.35">
      <c r="A15" s="56"/>
      <c r="B15" s="119"/>
      <c r="C15" s="56"/>
      <c r="D15" s="120"/>
      <c r="E15" s="120"/>
      <c r="F15" s="120"/>
      <c r="G15" s="56"/>
      <c r="H15" s="121"/>
      <c r="I15" s="121"/>
    </row>
    <row r="16" spans="1:9" x14ac:dyDescent="0.35">
      <c r="A16" s="56"/>
      <c r="B16" s="117" t="s">
        <v>17</v>
      </c>
      <c r="C16" s="117"/>
      <c r="D16" s="117" t="s">
        <v>18</v>
      </c>
      <c r="F16" s="117"/>
      <c r="G16" s="117"/>
      <c r="H16" s="118" t="s">
        <v>19</v>
      </c>
    </row>
  </sheetData>
  <sheetProtection algorithmName="SHA-512" hashValue="4hAfpUaGGidV+FpJwE5p12jfhREP/hut6GPq8yMu6trZlG5cDEp+mJngqycC1Xy9IMuq9PHhFg2EKxzq+hPEnA==" saltValue="CpBUbzQUFy5+GZ4pwdhrHA==" spinCount="100000" sheet="1" formatCells="0" formatColumns="0" formatRows="0" selectLockedCells="1"/>
  <mergeCells count="2">
    <mergeCell ref="D4:E4"/>
    <mergeCell ref="F4:I4"/>
  </mergeCells>
  <pageMargins left="0.59055118110236227" right="0.43307086614173229" top="0.94488188976377963" bottom="0.35433070866141736" header="0.31496062992125984" footer="0.19685039370078741"/>
  <pageSetup paperSize="9" fitToWidth="0" orientation="portrait" r:id="rId1"/>
  <headerFooter>
    <oddHeader>&amp;R&amp;G</oddHeader>
    <oddFooter>&amp;L&amp;9V. 1.02
Stand 10.08.2026</oddFooter>
  </headerFooter>
  <legacyDrawingHF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pageSetUpPr fitToPage="1"/>
  </sheetPr>
  <dimension ref="A1:W70"/>
  <sheetViews>
    <sheetView showGridLines="0" topLeftCell="C1" zoomScaleNormal="100" zoomScaleSheetLayoutView="98" workbookViewId="0">
      <selection activeCell="E3" sqref="E3:K3"/>
    </sheetView>
  </sheetViews>
  <sheetFormatPr baseColWidth="10" defaultColWidth="11.54296875" defaultRowHeight="12.5" x14ac:dyDescent="0.35"/>
  <cols>
    <col min="1" max="1" width="3.1796875" style="2" customWidth="1"/>
    <col min="2" max="2" width="22.453125" style="2" customWidth="1"/>
    <col min="3" max="3" width="10" style="2" customWidth="1"/>
    <col min="4" max="4" width="5" style="2" customWidth="1"/>
    <col min="5" max="7" width="4.54296875" style="2" customWidth="1"/>
    <col min="8" max="8" width="6.453125" style="2" customWidth="1"/>
    <col min="9" max="9" width="14.453125" style="2" customWidth="1"/>
    <col min="10" max="11" width="15.453125" style="2" customWidth="1"/>
    <col min="12" max="12" width="7.1796875" style="2" hidden="1" customWidth="1"/>
    <col min="13" max="13" width="24.54296875" style="31" customWidth="1"/>
    <col min="14" max="14" width="10" style="31" customWidth="1"/>
    <col min="15" max="15" width="5" style="31" customWidth="1"/>
    <col min="16" max="18" width="4.54296875" style="31" customWidth="1"/>
    <col min="19" max="19" width="10.453125" style="2" customWidth="1"/>
    <col min="20" max="20" width="14.453125" style="2" customWidth="1"/>
    <col min="21" max="22" width="15.453125" style="2" customWidth="1"/>
    <col min="23" max="16384" width="11.54296875" style="2"/>
  </cols>
  <sheetData>
    <row r="1" spans="1:23" ht="31.5" customHeight="1" x14ac:dyDescent="0.35">
      <c r="A1" s="263" t="s">
        <v>20</v>
      </c>
      <c r="B1" s="264"/>
      <c r="C1" s="264"/>
      <c r="D1" s="264"/>
      <c r="E1" s="264"/>
      <c r="F1" s="264"/>
      <c r="G1" s="264"/>
      <c r="H1" s="264"/>
      <c r="I1" s="34">
        <v>2027</v>
      </c>
      <c r="J1" s="32"/>
      <c r="K1" s="33"/>
      <c r="M1" s="183" t="s">
        <v>21</v>
      </c>
      <c r="N1" s="184"/>
      <c r="O1" s="184"/>
      <c r="P1" s="184"/>
      <c r="Q1" s="184"/>
      <c r="R1" s="184"/>
      <c r="S1" s="184"/>
      <c r="T1" s="184"/>
      <c r="U1" s="184"/>
      <c r="V1" s="185"/>
    </row>
    <row r="2" spans="1:23" s="4" customFormat="1" ht="13.5" customHeight="1" x14ac:dyDescent="0.35">
      <c r="A2" s="194" t="s">
        <v>22</v>
      </c>
      <c r="B2" s="195"/>
      <c r="C2" s="195"/>
      <c r="D2" s="196"/>
      <c r="E2" s="259"/>
      <c r="F2" s="260"/>
      <c r="G2" s="260"/>
      <c r="H2" s="260"/>
      <c r="I2" s="260"/>
      <c r="J2" s="260"/>
      <c r="K2" s="261"/>
      <c r="M2" s="171" t="s">
        <v>23</v>
      </c>
      <c r="N2" s="172"/>
      <c r="O2" s="173"/>
      <c r="P2" s="268" t="s">
        <v>84</v>
      </c>
      <c r="Q2" s="269"/>
      <c r="R2" s="270"/>
      <c r="S2" s="35"/>
      <c r="T2" s="76" t="str">
        <f>_xlfn.CONCAT("bis ",TEXT(DATE(I1,Werte!$F$2-1,2),"MMMM"))</f>
        <v>bis Februar</v>
      </c>
      <c r="U2" s="62" t="str">
        <f>_xlfn.CONCAT("ab ",TEXT(DATE(I1,Werte!$F$2,2),"MMMM"))</f>
        <v>ab März</v>
      </c>
      <c r="V2" s="102"/>
      <c r="W2" s="2"/>
    </row>
    <row r="3" spans="1:23" s="4" customFormat="1" ht="13.5" customHeight="1" x14ac:dyDescent="0.35">
      <c r="A3" s="194" t="s">
        <v>25</v>
      </c>
      <c r="B3" s="195"/>
      <c r="C3" s="195"/>
      <c r="D3" s="196"/>
      <c r="E3" s="259"/>
      <c r="F3" s="260"/>
      <c r="G3" s="260"/>
      <c r="H3" s="260"/>
      <c r="I3" s="260"/>
      <c r="J3" s="260"/>
      <c r="K3" s="261"/>
      <c r="M3" s="171" t="s">
        <v>26</v>
      </c>
      <c r="N3" s="172"/>
      <c r="O3" s="173"/>
      <c r="P3" s="265">
        <f>IF(AND(P4&lt;&gt;"",U4&lt;&gt;""),
N("monatsanteil startdatum:")+DATEDIF(P4,EOMONTH(P4,0)+1,"D")/DAY(EOMONTH(P4,0))
+N("zwischenmonate bzw korrektur:")+DATEDIF(P4,U4,"M")-IF(OR(MONTH(P4)=MONTH(U4),DAY(P4)&lt;=DAY(U4)),1,0)
+N("monatsanteil enddatum:")+DATEDIF(EOMONTH(U4,-1),U4,"D")/DAY(EOMONTH(U4,0)),
0)</f>
        <v>0</v>
      </c>
      <c r="Q3" s="266"/>
      <c r="R3" s="267"/>
      <c r="S3" s="35"/>
      <c r="T3" s="63">
        <f>IF(AND(P4&lt;&gt;"",U4&lt;&gt;"",MONTH(P4)&lt;Werte!$F$2),
+N("monatsanteil startdatum:")+DATEDIF(P4,EOMONTH(P4,0)+1,"D")/DAY(EOMONTH(P4,0))
+N("monatsanteil enddatum, falls vor W2:")+IF(MONTH(U4)&lt;Werte!$F$2,DATEDIF(EOMONTH(U4,-1),U4,"D")/DAY(EOMONTH(U4,0)))
+N("zwischenmonate bzw korrektur:")+MIN(MONTH(U4),Werte!$F$2)-MONTH(P4)-1,0)</f>
        <v>0</v>
      </c>
      <c r="U3" s="63">
        <f>N("wenn enddatum&gt;=wechseldatum")+IF(MONTH(U4)&gt;=Werte!$F$2,
+N("monatsanteil startdatum, wenn &gt;= W2:")+IF(MONTH(P4)&gt;=Werte!$F$2,DATEDIF(P4,EOMONTH(P4,0)+1,"D")/DAY(EOMONTH(P4,0)),0)
+N("monatsanteil enddatum")+DATEDIF(EOMONTH(U4,-1),U4,"D")/DAY(EOMONTH(U4,0))
+N("zwischenmonate bzw korrektur:")+MONTH(U4)-MAX(MONTH(P4),Werte!$F$2-1)-1
)</f>
        <v>0</v>
      </c>
      <c r="V3" s="103"/>
      <c r="W3" s="2"/>
    </row>
    <row r="4" spans="1:23" s="4" customFormat="1" ht="13.5" customHeight="1" x14ac:dyDescent="0.35">
      <c r="A4" s="194" t="s">
        <v>27</v>
      </c>
      <c r="B4" s="195"/>
      <c r="C4" s="195"/>
      <c r="D4" s="196"/>
      <c r="E4" s="259"/>
      <c r="F4" s="260"/>
      <c r="G4" s="260"/>
      <c r="H4" s="260"/>
      <c r="I4" s="260"/>
      <c r="J4" s="260"/>
      <c r="K4" s="261"/>
      <c r="L4" s="73"/>
      <c r="M4" s="275" t="s">
        <v>28</v>
      </c>
      <c r="N4" s="195"/>
      <c r="O4" s="196"/>
      <c r="P4" s="229"/>
      <c r="Q4" s="230"/>
      <c r="R4" s="231"/>
      <c r="S4" s="232" t="s">
        <v>29</v>
      </c>
      <c r="T4" s="233"/>
      <c r="U4" s="28"/>
      <c r="V4" s="104"/>
      <c r="W4" s="2"/>
    </row>
    <row r="5" spans="1:23" s="4" customFormat="1" ht="13.5" customHeight="1" x14ac:dyDescent="0.35">
      <c r="A5" s="194" t="s">
        <v>30</v>
      </c>
      <c r="B5" s="195"/>
      <c r="C5" s="195"/>
      <c r="D5" s="196"/>
      <c r="E5" s="259"/>
      <c r="F5" s="260"/>
      <c r="G5" s="260"/>
      <c r="H5" s="260"/>
      <c r="I5" s="260"/>
      <c r="J5" s="260"/>
      <c r="K5" s="261"/>
      <c r="L5" s="73"/>
      <c r="M5" s="262" t="s">
        <v>31</v>
      </c>
      <c r="N5" s="205"/>
      <c r="O5" s="206"/>
      <c r="P5" s="207"/>
      <c r="Q5" s="276"/>
      <c r="R5" s="277"/>
      <c r="S5" s="42" t="s">
        <v>32</v>
      </c>
      <c r="T5" s="210" t="s">
        <v>33</v>
      </c>
      <c r="U5" s="210"/>
      <c r="V5" s="248"/>
      <c r="W5" s="2"/>
    </row>
    <row r="6" spans="1:23" s="4" customFormat="1" ht="12.75" customHeight="1" x14ac:dyDescent="0.35">
      <c r="A6" s="194" t="s">
        <v>34</v>
      </c>
      <c r="B6" s="195"/>
      <c r="C6" s="195"/>
      <c r="D6" s="196"/>
      <c r="E6" s="259"/>
      <c r="F6" s="260"/>
      <c r="G6" s="260"/>
      <c r="H6" s="260"/>
      <c r="I6" s="260"/>
      <c r="J6" s="260"/>
      <c r="K6" s="261"/>
      <c r="L6" s="73"/>
      <c r="M6" s="125"/>
      <c r="N6" s="126"/>
      <c r="O6" s="126"/>
      <c r="P6" s="126"/>
      <c r="Q6" s="126"/>
      <c r="R6" s="126"/>
      <c r="S6" s="127"/>
      <c r="T6" s="134" t="s">
        <v>35</v>
      </c>
      <c r="U6" s="134" t="s">
        <v>36</v>
      </c>
      <c r="V6" s="137" t="s">
        <v>37</v>
      </c>
      <c r="W6" s="2"/>
    </row>
    <row r="7" spans="1:23" s="4" customFormat="1" ht="12.75" customHeight="1" x14ac:dyDescent="0.35">
      <c r="A7" s="194" t="s">
        <v>38</v>
      </c>
      <c r="B7" s="195"/>
      <c r="C7" s="195"/>
      <c r="D7" s="196"/>
      <c r="E7" s="272"/>
      <c r="F7" s="273"/>
      <c r="G7" s="273"/>
      <c r="H7" s="273"/>
      <c r="I7" s="274"/>
      <c r="J7" s="39" t="s">
        <v>39</v>
      </c>
      <c r="K7" s="40"/>
      <c r="L7" s="73"/>
      <c r="M7" s="128"/>
      <c r="N7" s="129"/>
      <c r="O7" s="129"/>
      <c r="P7" s="129"/>
      <c r="Q7" s="129"/>
      <c r="R7" s="129"/>
      <c r="S7" s="130"/>
      <c r="T7" s="135"/>
      <c r="U7" s="135"/>
      <c r="V7" s="138"/>
      <c r="W7" s="2"/>
    </row>
    <row r="8" spans="1:23" s="4" customFormat="1" ht="13.5" customHeight="1" x14ac:dyDescent="0.35">
      <c r="A8" s="194" t="s">
        <v>40</v>
      </c>
      <c r="B8" s="195"/>
      <c r="C8" s="195"/>
      <c r="D8" s="196"/>
      <c r="E8" s="259"/>
      <c r="F8" s="260"/>
      <c r="G8" s="260"/>
      <c r="H8" s="260"/>
      <c r="I8" s="260"/>
      <c r="J8" s="260"/>
      <c r="K8" s="261"/>
      <c r="L8" s="73"/>
      <c r="M8" s="128"/>
      <c r="N8" s="129"/>
      <c r="O8" s="129"/>
      <c r="P8" s="129"/>
      <c r="Q8" s="129"/>
      <c r="R8" s="129"/>
      <c r="S8" s="130"/>
      <c r="T8" s="135"/>
      <c r="U8" s="135"/>
      <c r="V8" s="138"/>
      <c r="W8" s="2"/>
    </row>
    <row r="9" spans="1:23" ht="18.75" customHeight="1" x14ac:dyDescent="0.35">
      <c r="A9" s="194" t="s">
        <v>41</v>
      </c>
      <c r="B9" s="195"/>
      <c r="C9" s="195"/>
      <c r="D9" s="196"/>
      <c r="E9" s="268" t="s">
        <v>84</v>
      </c>
      <c r="F9" s="269"/>
      <c r="G9" s="270"/>
      <c r="H9" s="35"/>
      <c r="I9" s="62" t="str">
        <f>_xlfn.CONCAT("bis ",TEXT(DATE(I1,Werte!$F$2-1,2),"MMMM"))</f>
        <v>bis Februar</v>
      </c>
      <c r="J9" s="62" t="str">
        <f>_xlfn.CONCAT("ab ",TEXT(DATE(I1,Werte!$F$2,2),"MMMM"))</f>
        <v>ab März</v>
      </c>
      <c r="K9" s="61"/>
      <c r="L9" s="73"/>
      <c r="M9" s="131"/>
      <c r="N9" s="132"/>
      <c r="O9" s="132"/>
      <c r="P9" s="132"/>
      <c r="Q9" s="132"/>
      <c r="R9" s="132"/>
      <c r="S9" s="133"/>
      <c r="T9" s="136"/>
      <c r="U9" s="136"/>
      <c r="V9" s="139"/>
      <c r="W9" s="4"/>
    </row>
    <row r="10" spans="1:23" ht="13.5" customHeight="1" x14ac:dyDescent="0.35">
      <c r="A10" s="194" t="s">
        <v>26</v>
      </c>
      <c r="B10" s="195"/>
      <c r="C10" s="195"/>
      <c r="D10" s="196"/>
      <c r="E10" s="271">
        <f>N("monatsanteil startdatum:")+DATEDIF(E11,EOMONTH(E11,0)+1,"D")/DAY(EOMONTH(E11,0))
+N("zwischenmonate bzw korrektur:")+DATEDIF(E11,J11,"M")-IF(OR(MONTH(E11)=MONTH(J11),DAY(E11)&lt;=DAY(J11)),1,0)
+N("monatsanteil enddatum:")+DATEDIF(EOMONTH(J11,-1),J11,"D")/DAY(EOMONTH(J11,0))</f>
        <v>12</v>
      </c>
      <c r="F10" s="266"/>
      <c r="G10" s="267"/>
      <c r="H10" s="35"/>
      <c r="I10" s="108">
        <f>N("wenn startdatum&lt;wechseldatum")+IF(MONTH(E11)&lt;Werte!$F$2,
+N("monatsanteil startdatum:")+DATEDIF(E11,EOMONTH(E11,0)+1,"D")/DAY(EOMONTH(E11,0))
+N("monatsanteil enddatum, falls vor W2:")+IF(MONTH(J11)&lt;Werte!$F$2,DATEDIF(EOMONTH(J11,-1),J11,"D")/DAY(EOMONTH(J11,0)))
+N("zwischenmonate bzw korrektur:")+MIN(MONTH(J11),Werte!$F$2)-MONTH(E11)-1)</f>
        <v>2</v>
      </c>
      <c r="J10" s="63">
        <f>N("wenn startdatum&lt;wechseldatum")+IF(MONTH(J11)&gt;=Werte!$F$2,
+N("monatsanteil startdatum, wenn &gt;= W2:")+IF(MONTH(E11)&gt;=Werte!$F$2,DATEDIF(E11,EOMONTH(E11,0)+1,"D")/DAY(EOMONTH(E11,0)),0)
+N("monatsanteil enddatum")+DATEDIF(EOMONTH(J11,-1),J11,"D")/DAY(EOMONTH(J11,0))
+N("zwischenmonate bzw korrektur:")+MONTH(J11)-MAX(MONTH(E11),Werte!$F$2-1)-1)</f>
        <v>10</v>
      </c>
      <c r="K10" s="38"/>
      <c r="L10" s="73"/>
      <c r="M10" s="217" t="s">
        <v>295</v>
      </c>
      <c r="N10" s="212"/>
      <c r="O10" s="212"/>
      <c r="P10" s="212"/>
      <c r="Q10" s="212"/>
      <c r="R10" s="212"/>
      <c r="S10" s="212"/>
      <c r="T10" s="60">
        <f>INDEX(Werte!C3:C210,MATCH(P2,Werte!$B3:$B210,0))</f>
        <v>0</v>
      </c>
      <c r="U10" s="58">
        <f>ROUND(T10/39.4*$P$5,2)</f>
        <v>0</v>
      </c>
      <c r="V10" s="105"/>
      <c r="W10" s="4"/>
    </row>
    <row r="11" spans="1:23" ht="13.5" customHeight="1" x14ac:dyDescent="0.35">
      <c r="A11" s="194" t="s">
        <v>28</v>
      </c>
      <c r="B11" s="195"/>
      <c r="C11" s="195"/>
      <c r="D11" s="196"/>
      <c r="E11" s="229">
        <v>46388</v>
      </c>
      <c r="F11" s="230"/>
      <c r="G11" s="231"/>
      <c r="H11" s="232" t="s">
        <v>29</v>
      </c>
      <c r="I11" s="233"/>
      <c r="J11" s="28">
        <v>46752</v>
      </c>
      <c r="K11" s="41"/>
      <c r="L11" s="73"/>
      <c r="M11" s="217" t="s">
        <v>296</v>
      </c>
      <c r="N11" s="218"/>
      <c r="O11" s="218"/>
      <c r="P11" s="218"/>
      <c r="Q11" s="218"/>
      <c r="R11" s="218"/>
      <c r="S11" s="219"/>
      <c r="T11" s="60">
        <f>INDEX(Werte!E3:E210,MATCH(P2,Werte!$B3:$B210,0))</f>
        <v>0</v>
      </c>
      <c r="U11" s="58">
        <f>ROUND(T11/39.4*$P$5,2)</f>
        <v>0</v>
      </c>
      <c r="V11" s="105"/>
      <c r="W11" s="4"/>
    </row>
    <row r="12" spans="1:23" ht="13.5" customHeight="1" x14ac:dyDescent="0.35">
      <c r="A12" s="204" t="s">
        <v>31</v>
      </c>
      <c r="B12" s="205"/>
      <c r="C12" s="205"/>
      <c r="D12" s="206"/>
      <c r="E12" s="207"/>
      <c r="F12" s="208"/>
      <c r="G12" s="209"/>
      <c r="H12" s="42" t="s">
        <v>32</v>
      </c>
      <c r="I12" s="210" t="s">
        <v>33</v>
      </c>
      <c r="J12" s="210"/>
      <c r="K12" s="211"/>
      <c r="M12" s="171" t="str">
        <f>A19</f>
        <v>Zulage SuE (aus der S-Tabelle)</v>
      </c>
      <c r="N12" s="172"/>
      <c r="O12" s="172"/>
      <c r="P12" s="172"/>
      <c r="Q12" s="172"/>
      <c r="R12" s="172"/>
      <c r="S12" s="173"/>
      <c r="T12" s="27">
        <f>INDEX(Werte!F3:F210,MATCH(P2,Werte!$B3:$B210,0))</f>
        <v>0</v>
      </c>
      <c r="U12" s="16">
        <f t="shared" ref="U12:U13" si="0">ROUND(T12/39.4*$P$5,2)</f>
        <v>0</v>
      </c>
      <c r="V12" s="98"/>
      <c r="W12" s="4"/>
    </row>
    <row r="13" spans="1:23" ht="15" customHeight="1" x14ac:dyDescent="0.35">
      <c r="A13" s="186"/>
      <c r="B13" s="126"/>
      <c r="C13" s="126"/>
      <c r="D13" s="126"/>
      <c r="E13" s="126"/>
      <c r="F13" s="126"/>
      <c r="G13" s="126"/>
      <c r="H13" s="127"/>
      <c r="I13" s="189" t="s">
        <v>35</v>
      </c>
      <c r="J13" s="189" t="s">
        <v>36</v>
      </c>
      <c r="K13" s="189" t="s">
        <v>37</v>
      </c>
      <c r="M13" s="171" t="str">
        <f>A20</f>
        <v>Besitzstand, Zulagen (Bitte in einer Anlage erläutern)</v>
      </c>
      <c r="N13" s="181"/>
      <c r="O13" s="181"/>
      <c r="P13" s="181"/>
      <c r="Q13" s="181"/>
      <c r="R13" s="181"/>
      <c r="S13" s="182"/>
      <c r="T13" s="27"/>
      <c r="U13" s="16">
        <f t="shared" si="0"/>
        <v>0</v>
      </c>
      <c r="V13" s="98"/>
      <c r="W13" s="3"/>
    </row>
    <row r="14" spans="1:23" ht="16.5" customHeight="1" x14ac:dyDescent="0.35">
      <c r="A14" s="187"/>
      <c r="B14" s="129"/>
      <c r="C14" s="129"/>
      <c r="D14" s="129"/>
      <c r="E14" s="129"/>
      <c r="F14" s="129"/>
      <c r="G14" s="129"/>
      <c r="H14" s="130"/>
      <c r="I14" s="190"/>
      <c r="J14" s="190"/>
      <c r="K14" s="190"/>
      <c r="M14" s="171" t="str">
        <f>A21</f>
        <v>ggf. VWL (§ 23 TV-L) *1</v>
      </c>
      <c r="N14" s="172"/>
      <c r="O14" s="172"/>
      <c r="P14" s="172"/>
      <c r="Q14" s="172"/>
      <c r="R14" s="172"/>
      <c r="S14" s="173"/>
      <c r="T14" s="27"/>
      <c r="U14" s="16">
        <f>IF(P5&lt;39.4,ROUND(T14/39.4*$P$5,2),T14)</f>
        <v>0</v>
      </c>
      <c r="V14" s="98"/>
      <c r="W14" s="3"/>
    </row>
    <row r="15" spans="1:23" ht="16.5" customHeight="1" x14ac:dyDescent="0.35">
      <c r="A15" s="187"/>
      <c r="B15" s="129"/>
      <c r="C15" s="129"/>
      <c r="D15" s="129"/>
      <c r="E15" s="129"/>
      <c r="F15" s="129"/>
      <c r="G15" s="129"/>
      <c r="H15" s="130"/>
      <c r="I15" s="190"/>
      <c r="J15" s="190"/>
      <c r="K15" s="190"/>
      <c r="M15" s="171" t="str">
        <f>A22</f>
        <v>Ø mtl. AN-Brutto ges. (ohne Berücksichtigung der VWL-Zulage)</v>
      </c>
      <c r="N15" s="172"/>
      <c r="O15" s="172"/>
      <c r="P15" s="172"/>
      <c r="Q15" s="172"/>
      <c r="R15" s="172"/>
      <c r="S15" s="173"/>
      <c r="T15" s="67">
        <f>ROUND(IF($P3&gt;0,SUM((T10*$T3+T11*$U3)/$P3,T12+T13),0),2)</f>
        <v>0</v>
      </c>
      <c r="U15" s="67">
        <f>ROUND(IF($P3&gt;0,SUM((U10*$T3+U11*$U3)/$P3,U12+U13),0),2)</f>
        <v>0</v>
      </c>
      <c r="V15" s="106">
        <f>ROUND(IF($P3&gt;0,SUM((V10*$T3+V11*$U3)/$P3,V12+V13),0),2)</f>
        <v>0</v>
      </c>
      <c r="W15" s="3"/>
    </row>
    <row r="16" spans="1:23" ht="16.5" customHeight="1" thickBot="1" x14ac:dyDescent="0.4">
      <c r="A16" s="188"/>
      <c r="B16" s="132"/>
      <c r="C16" s="132"/>
      <c r="D16" s="132"/>
      <c r="E16" s="132"/>
      <c r="F16" s="132"/>
      <c r="G16" s="132"/>
      <c r="H16" s="133"/>
      <c r="I16" s="191"/>
      <c r="J16" s="191"/>
      <c r="K16" s="191"/>
      <c r="M16" s="241" t="str">
        <f>A23</f>
        <v>Arbeitnehmerbruttogehalt ohne Jahressonderzahlung</v>
      </c>
      <c r="N16" s="235"/>
      <c r="O16" s="235"/>
      <c r="P16" s="235"/>
      <c r="Q16" s="235"/>
      <c r="R16" s="235"/>
      <c r="S16" s="236"/>
      <c r="T16" s="7">
        <f>ROUND(T15*$P3,2)</f>
        <v>0</v>
      </c>
      <c r="U16" s="7">
        <f>ROUND(U15*$P3,2)</f>
        <v>0</v>
      </c>
      <c r="V16" s="72">
        <f>ROUND(V15*$P3,2)</f>
        <v>0</v>
      </c>
      <c r="W16" s="3"/>
    </row>
    <row r="17" spans="1:23" ht="18.75" customHeight="1" x14ac:dyDescent="0.35">
      <c r="A17" s="212" t="s">
        <v>293</v>
      </c>
      <c r="B17" s="212"/>
      <c r="C17" s="212"/>
      <c r="D17" s="212"/>
      <c r="E17" s="212"/>
      <c r="F17" s="212"/>
      <c r="G17" s="212"/>
      <c r="H17" s="212"/>
      <c r="I17" s="57">
        <f>INDEX(Werte!C3:C210,MATCH(E9,Werte!$B3:$B210,0))</f>
        <v>0</v>
      </c>
      <c r="J17" s="58">
        <f>ROUND(I17/39.4*$E$12,2)</f>
        <v>0</v>
      </c>
      <c r="K17" s="59"/>
      <c r="M17" s="224" t="s">
        <v>42</v>
      </c>
      <c r="N17" s="201"/>
      <c r="O17" s="201"/>
      <c r="P17" s="201"/>
      <c r="Q17" s="202"/>
      <c r="R17" s="222">
        <f>INDEX(Werte!D3:D210,MATCH(Vergleichsberechnung!P2,Werte!$B3:$B210,0))</f>
        <v>0</v>
      </c>
      <c r="S17" s="223"/>
      <c r="T17" s="249"/>
      <c r="U17" s="250"/>
      <c r="V17" s="251"/>
      <c r="W17" s="30"/>
    </row>
    <row r="18" spans="1:23" ht="18.75" customHeight="1" x14ac:dyDescent="0.35">
      <c r="A18" s="212" t="s">
        <v>294</v>
      </c>
      <c r="B18" s="212"/>
      <c r="C18" s="212"/>
      <c r="D18" s="212"/>
      <c r="E18" s="212"/>
      <c r="F18" s="212"/>
      <c r="G18" s="212"/>
      <c r="H18" s="212"/>
      <c r="I18" s="69">
        <f>INDEX(Werte!E3:E210,MATCH(E9,Werte!$B3:$B210,0))</f>
        <v>0</v>
      </c>
      <c r="J18" s="58">
        <f>ROUND(I18/39.4*$E$12,2)</f>
        <v>0</v>
      </c>
      <c r="K18" s="59"/>
      <c r="M18" s="171" t="s">
        <v>43</v>
      </c>
      <c r="N18" s="172"/>
      <c r="O18" s="172"/>
      <c r="P18" s="172"/>
      <c r="Q18" s="172"/>
      <c r="R18" s="172"/>
      <c r="S18" s="173"/>
      <c r="T18" s="5">
        <f>IF($U$4&gt;=DATEVALUE("01.12."&amp;($I$1)),IF($P$4&gt;=DATEVALUE("01.08."&amp;($I$1)),
IF(Werte!$F$2&gt;7,I$17,I$18)+I$19+I$21,
IF(Werte!$F$2&gt;7,T$10,T$11)+T$12+T$14),0)</f>
        <v>0</v>
      </c>
      <c r="U18" s="16">
        <f>IF($U$4&gt;=DATEVALUE("01.12."&amp;($I$1)),IF($P$4&gt;=DATEVALUE("01.08."&amp;($I$1)),
IF(Werte!$F$2&gt;7,J$17,J$18)+J$19+J$21,
IF(Werte!$F$2&gt;7,U$10,U$11)+U$12+U$14),0)</f>
        <v>0</v>
      </c>
      <c r="V18" s="97">
        <f>IF($U$4&gt;=DATEVALUE("01.12."&amp;($I$1)),IF($P$4&gt;=DATEVALUE("01.08."&amp;($I$1)),
IF(Werte!$F$2&gt;7,K$17,K$18)+K$19+K$21,
IF(Werte!$F$2&gt;7,V$10,V$11)+V$12+V$14),0)</f>
        <v>0</v>
      </c>
      <c r="W18" s="30"/>
    </row>
    <row r="19" spans="1:23" ht="18.75" customHeight="1" x14ac:dyDescent="0.35">
      <c r="A19" s="2" t="s">
        <v>44</v>
      </c>
      <c r="I19" s="69">
        <f>INDEX(Werte!F3:F210,MATCH(E9,Werte!$B3:$B210,0))</f>
        <v>0</v>
      </c>
      <c r="J19" s="58">
        <f>ROUND(I19/39.4*$E$12,2)</f>
        <v>0</v>
      </c>
      <c r="K19" s="27"/>
      <c r="M19" s="171" t="s">
        <v>45</v>
      </c>
      <c r="N19" s="172"/>
      <c r="O19" s="172"/>
      <c r="P19" s="172"/>
      <c r="Q19" s="172"/>
      <c r="R19" s="172"/>
      <c r="S19" s="173"/>
      <c r="T19" s="5">
        <f>IF($U$4&gt;=DATEVALUE("01.12."&amp;($I$1)),IF($P$4&gt;=DATEVALUE("01.09."&amp;($I$1)),
IF(Werte!$F$2&gt;8,I$17,I$18)+I$19+I$21,
IF(Werte!$F$2&gt;8,T$10,T$11)+T$12+T$14),0)</f>
        <v>0</v>
      </c>
      <c r="U19" s="16">
        <f>IF($U$4&gt;=DATEVALUE("01.12."&amp;($I$1)),IF($P$4&gt;=DATEVALUE("01.09."&amp;($I$1)),
IF(Werte!$F$2&gt;8,J$17,J$18)+J$19+J$21,
IF(Werte!$F$2&gt;8,U$10,U$11)+U$12+U$14),0)</f>
        <v>0</v>
      </c>
      <c r="V19" s="97">
        <f>IF($U$4&gt;=DATEVALUE("01.12."&amp;($I$1)),IF($P$4&gt;=DATEVALUE("01.09."&amp;($I$1)),
IF(Werte!$F$2&gt;8,K$17,K$18)+K$19+K$21,
IF(Werte!$F$2&gt;8,V$10,V$11)+V$12+V$14),0)</f>
        <v>0</v>
      </c>
      <c r="W19" s="30"/>
    </row>
    <row r="20" spans="1:23" ht="18.75" customHeight="1" x14ac:dyDescent="0.35">
      <c r="A20" s="203" t="s">
        <v>46</v>
      </c>
      <c r="B20" s="172"/>
      <c r="C20" s="172"/>
      <c r="D20" s="172"/>
      <c r="E20" s="172"/>
      <c r="F20" s="172"/>
      <c r="G20" s="172"/>
      <c r="H20" s="172"/>
      <c r="I20" s="124"/>
      <c r="J20" s="58">
        <f>ROUND(I20/39.4*$E$12,2)</f>
        <v>0</v>
      </c>
      <c r="K20" s="27"/>
      <c r="M20" s="171" t="s">
        <v>47</v>
      </c>
      <c r="N20" s="172"/>
      <c r="O20" s="172"/>
      <c r="P20" s="172"/>
      <c r="Q20" s="172"/>
      <c r="R20" s="172"/>
      <c r="S20" s="173"/>
      <c r="T20" s="5">
        <f>IF($U$4&gt;=DATEVALUE("01.12."&amp;($I$1)),IF($P$4&gt;=DATEVALUE("01.10."&amp;($I$1)),
IF(Werte!$F$2&gt;9,I$17,I$18)+I$19+I$21,
IF(Werte!$F$2&gt;9,T$10,T$11)+T$12+T$14),0)</f>
        <v>0</v>
      </c>
      <c r="U20" s="16">
        <f>IF($U$4&gt;=DATEVALUE("01.12."&amp;($I$1)),IF($P$4&gt;=DATEVALUE("01.10."&amp;($I$1)),
IF(Werte!$F$2&gt;9,J$17,J$18)+J$19+J$21,
IF(Werte!$F$2&gt;9,U$10,U$11)+U$12+U$14),0)</f>
        <v>0</v>
      </c>
      <c r="V20" s="97">
        <f>IF($U$4&gt;=DATEVALUE("01.12."&amp;($I$1)),IF($P$4&gt;=DATEVALUE("01.10."&amp;($I$1)),
IF(Werte!$F$2&gt;9,K$17,K$18)+K$19+K$21,
IF(Werte!$F$2&gt;9,V$10,V$11)+V$12+V$14),0)</f>
        <v>0</v>
      </c>
      <c r="W20" s="30"/>
    </row>
    <row r="21" spans="1:23" ht="18.75" customHeight="1" x14ac:dyDescent="0.35">
      <c r="A21" s="203" t="s">
        <v>48</v>
      </c>
      <c r="B21" s="172"/>
      <c r="C21" s="172"/>
      <c r="D21" s="172"/>
      <c r="E21" s="172"/>
      <c r="F21" s="172"/>
      <c r="G21" s="172"/>
      <c r="H21" s="173"/>
      <c r="I21" s="27"/>
      <c r="J21" s="16">
        <f>IF(E12&lt;39.4,ROUND(I21/39.4*$E$12,2),I21)</f>
        <v>0</v>
      </c>
      <c r="K21" s="27"/>
      <c r="M21" s="171" t="s">
        <v>49</v>
      </c>
      <c r="N21" s="172"/>
      <c r="O21" s="172"/>
      <c r="P21" s="172"/>
      <c r="Q21" s="172"/>
      <c r="R21" s="172"/>
      <c r="S21" s="173"/>
      <c r="T21" s="1">
        <f>IF($U4&gt;=DATEVALUE("01.12."&amp;($I$1)),ROUND(SUM(T18:T20)/3*$R17*(DATEDIF($E11,$U4,"m")+1+IF(DAY($E11)&gt;DAY($U4),1))/12,2),0)</f>
        <v>0</v>
      </c>
      <c r="U21" s="16">
        <f>IF($U4&gt;=DATEVALUE("01.12."&amp;($I$1)),ROUND(SUM(U18:U20)/3*$R17*(DATEDIF($E11,$U4,"m")+1+IF(DAY($E11)&gt;DAY($U4),1))/12,2),0)</f>
        <v>0</v>
      </c>
      <c r="V21" s="98"/>
      <c r="W21" s="30"/>
    </row>
    <row r="22" spans="1:23" ht="18.75" customHeight="1" thickBot="1" x14ac:dyDescent="0.4">
      <c r="A22" s="212" t="s">
        <v>291</v>
      </c>
      <c r="B22" s="218"/>
      <c r="C22" s="218"/>
      <c r="D22" s="218"/>
      <c r="E22" s="218"/>
      <c r="F22" s="218"/>
      <c r="G22" s="218"/>
      <c r="H22" s="219"/>
      <c r="I22" s="64">
        <f>ROUND(SUM((I17*$I10+(IF(J10&gt;0,I18*$J10,0)))/$E10,I19+I20),2)</f>
        <v>0</v>
      </c>
      <c r="J22" s="67">
        <f>ROUND(SUM((J17*$I10+J18*$J10)/$E10,J19+J20),2)</f>
        <v>0</v>
      </c>
      <c r="K22" s="67">
        <f>ROUND(SUM((K17*$I10+K18*$J10)/$E10,K19+K20),2)</f>
        <v>0</v>
      </c>
      <c r="M22" s="241" t="str">
        <f t="shared" ref="M22:M33" si="1">A25</f>
        <v>Arbeitnehmerbruttogehalt inkl. Jahressonderzahlung</v>
      </c>
      <c r="N22" s="235"/>
      <c r="O22" s="235"/>
      <c r="P22" s="235"/>
      <c r="Q22" s="235"/>
      <c r="R22" s="235"/>
      <c r="S22" s="236"/>
      <c r="T22" s="8">
        <f>T16+T21</f>
        <v>0</v>
      </c>
      <c r="U22" s="8">
        <f>U16+U21</f>
        <v>0</v>
      </c>
      <c r="V22" s="99">
        <f>V16+V21</f>
        <v>0</v>
      </c>
      <c r="W22" s="30"/>
    </row>
    <row r="23" spans="1:23" ht="18.75" customHeight="1" thickBot="1" x14ac:dyDescent="0.4">
      <c r="A23" s="234" t="s">
        <v>50</v>
      </c>
      <c r="B23" s="235"/>
      <c r="C23" s="235"/>
      <c r="D23" s="235"/>
      <c r="E23" s="235"/>
      <c r="F23" s="235"/>
      <c r="G23" s="235"/>
      <c r="H23" s="236"/>
      <c r="I23" s="7">
        <f>ROUND(I22*$E10,2)</f>
        <v>0</v>
      </c>
      <c r="J23" s="65">
        <f>ROUND(J22*$E10,2)</f>
        <v>0</v>
      </c>
      <c r="K23" s="65">
        <f>ROUND(K22*$E10,2)</f>
        <v>0</v>
      </c>
      <c r="M23" s="224" t="str">
        <f t="shared" si="1"/>
        <v>AG-Anteil zur Krankenversicherung in Prozent</v>
      </c>
      <c r="N23" s="201"/>
      <c r="O23" s="201"/>
      <c r="P23" s="201"/>
      <c r="Q23" s="202"/>
      <c r="R23" s="220">
        <f>G26</f>
        <v>7.2999999999999995E-2</v>
      </c>
      <c r="S23" s="221"/>
      <c r="T23" s="6">
        <f>ROUND(T$22*$R23,2)</f>
        <v>0</v>
      </c>
      <c r="U23" s="18">
        <f t="shared" ref="U23:V23" si="2">ROUND(U$22*$R23,2)</f>
        <v>0</v>
      </c>
      <c r="V23" s="100">
        <f t="shared" si="2"/>
        <v>0</v>
      </c>
      <c r="W23" s="30"/>
    </row>
    <row r="24" spans="1:23" ht="18.75" customHeight="1" x14ac:dyDescent="0.35">
      <c r="A24" s="200" t="s">
        <v>51</v>
      </c>
      <c r="B24" s="201"/>
      <c r="C24" s="201"/>
      <c r="D24" s="201"/>
      <c r="E24" s="201"/>
      <c r="F24" s="202"/>
      <c r="G24" s="237">
        <f>INDEX(Werte!D3:D210,MATCH(Vergleichsberechnung!E9,Werte!$B3:$B210,0))</f>
        <v>0</v>
      </c>
      <c r="H24" s="238"/>
      <c r="I24" s="6">
        <f>IF(AND($J11&gt;=DATEVALUE("01.12."&amp;(I1)),$E11&lt;=DATEVALUE("01.12."&amp;(I1))),
ROUND((
IF(Werte!$F$2&gt;9,I17,
IF(Werte!$F$2&lt;7,I18,
IF(Werte!$F$2=8,(I17+2*I18)/3,(2*I17+I18)/3)))
+I19)*$G24*(DATEDIF(E11,J11,"m")+1+IF(DAY(E11)&gt;DAY(J11),1))/12,2),0)</f>
        <v>0</v>
      </c>
      <c r="J24" s="18">
        <f t="shared" ref="J24" si="3">ROUND(I24/39.4*$E$12,2)</f>
        <v>0</v>
      </c>
      <c r="K24" s="29"/>
      <c r="M24" s="107" t="str">
        <f t="shared" si="1"/>
        <v>Bezeichnung Krankenkasse</v>
      </c>
      <c r="N24" s="245" t="str">
        <f>IF(ISBLANK(C27),"",C27)</f>
        <v>Techniker Krankenkasse</v>
      </c>
      <c r="O24" s="246"/>
      <c r="P24" s="246"/>
      <c r="Q24" s="246"/>
      <c r="R24" s="246"/>
      <c r="S24" s="247"/>
      <c r="T24" s="6"/>
      <c r="U24" s="16"/>
      <c r="V24" s="100"/>
      <c r="W24" s="30"/>
    </row>
    <row r="25" spans="1:23" ht="18.75" customHeight="1" thickBot="1" x14ac:dyDescent="0.4">
      <c r="A25" s="234" t="s">
        <v>52</v>
      </c>
      <c r="B25" s="235"/>
      <c r="C25" s="235"/>
      <c r="D25" s="235"/>
      <c r="E25" s="235"/>
      <c r="F25" s="235"/>
      <c r="G25" s="235"/>
      <c r="H25" s="236"/>
      <c r="I25" s="7">
        <f>SUM(I23:I24)</f>
        <v>0</v>
      </c>
      <c r="J25" s="17">
        <f>SUM(J23:J24)</f>
        <v>0</v>
      </c>
      <c r="K25" s="17">
        <f>SUM(K23:K24)</f>
        <v>0</v>
      </c>
      <c r="M25" s="171" t="str">
        <f t="shared" si="1"/>
        <v>AG-Anteil zur KK individueller Beitragssatz in Prozent</v>
      </c>
      <c r="N25" s="172"/>
      <c r="O25" s="172"/>
      <c r="P25" s="172"/>
      <c r="Q25" s="173"/>
      <c r="R25" s="174">
        <f t="shared" ref="R25:R31" si="4">G28</f>
        <v>0</v>
      </c>
      <c r="S25" s="175"/>
      <c r="T25" s="6">
        <f t="shared" ref="T25:V29" si="5">ROUND(T$22*$R25,2)</f>
        <v>0</v>
      </c>
      <c r="U25" s="16">
        <f t="shared" si="5"/>
        <v>0</v>
      </c>
      <c r="V25" s="100">
        <f t="shared" si="5"/>
        <v>0</v>
      </c>
      <c r="W25" s="30"/>
    </row>
    <row r="26" spans="1:23" ht="18.75" customHeight="1" x14ac:dyDescent="0.35">
      <c r="A26" s="200" t="s">
        <v>53</v>
      </c>
      <c r="B26" s="201"/>
      <c r="C26" s="201"/>
      <c r="D26" s="201"/>
      <c r="E26" s="201"/>
      <c r="F26" s="202"/>
      <c r="G26" s="220">
        <v>7.2999999999999995E-2</v>
      </c>
      <c r="H26" s="221"/>
      <c r="I26" s="1">
        <f>ROUND(I25*$G26,2)</f>
        <v>0</v>
      </c>
      <c r="J26" s="16">
        <f>ROUND(J25*$G26,2)</f>
        <v>0</v>
      </c>
      <c r="K26" s="16">
        <f>ROUND(K25*$G26,2)</f>
        <v>0</v>
      </c>
      <c r="M26" s="171" t="str">
        <f t="shared" si="1"/>
        <v>AG-Anteil zur Rentenversicherung in Prozent</v>
      </c>
      <c r="N26" s="172"/>
      <c r="O26" s="172"/>
      <c r="P26" s="172"/>
      <c r="Q26" s="173"/>
      <c r="R26" s="174">
        <f t="shared" si="4"/>
        <v>9.2999999999999999E-2</v>
      </c>
      <c r="S26" s="175"/>
      <c r="T26" s="6">
        <f t="shared" si="5"/>
        <v>0</v>
      </c>
      <c r="U26" s="16">
        <f t="shared" si="5"/>
        <v>0</v>
      </c>
      <c r="V26" s="100">
        <f t="shared" si="5"/>
        <v>0</v>
      </c>
      <c r="W26" s="30"/>
    </row>
    <row r="27" spans="1:23" ht="18.75" customHeight="1" x14ac:dyDescent="0.35">
      <c r="A27" s="203" t="s">
        <v>54</v>
      </c>
      <c r="B27" s="173"/>
      <c r="C27" s="245" t="s">
        <v>55</v>
      </c>
      <c r="D27" s="246"/>
      <c r="E27" s="246"/>
      <c r="F27" s="246"/>
      <c r="G27" s="246"/>
      <c r="H27" s="247"/>
      <c r="I27" s="1"/>
      <c r="J27" s="16"/>
      <c r="K27" s="16"/>
      <c r="M27" s="171" t="str">
        <f t="shared" si="1"/>
        <v>AG-Anteil zur Arbeitslosenversicherung in Prozent</v>
      </c>
      <c r="N27" s="172"/>
      <c r="O27" s="172"/>
      <c r="P27" s="172"/>
      <c r="Q27" s="173"/>
      <c r="R27" s="174">
        <f t="shared" si="4"/>
        <v>0</v>
      </c>
      <c r="S27" s="175"/>
      <c r="T27" s="6">
        <f t="shared" si="5"/>
        <v>0</v>
      </c>
      <c r="U27" s="16">
        <f t="shared" si="5"/>
        <v>0</v>
      </c>
      <c r="V27" s="100">
        <f t="shared" si="5"/>
        <v>0</v>
      </c>
      <c r="W27" s="30"/>
    </row>
    <row r="28" spans="1:23" ht="18.75" customHeight="1" x14ac:dyDescent="0.35">
      <c r="A28" s="203" t="s">
        <v>56</v>
      </c>
      <c r="B28" s="172"/>
      <c r="C28" s="172"/>
      <c r="D28" s="172"/>
      <c r="E28" s="172"/>
      <c r="F28" s="173"/>
      <c r="G28" s="257"/>
      <c r="H28" s="258"/>
      <c r="I28" s="1">
        <f t="shared" ref="I28:K31" si="6">ROUND(I$25*$G28,2)</f>
        <v>0</v>
      </c>
      <c r="J28" s="16">
        <f t="shared" si="6"/>
        <v>0</v>
      </c>
      <c r="K28" s="16">
        <f t="shared" si="6"/>
        <v>0</v>
      </c>
      <c r="M28" s="171" t="str">
        <f t="shared" si="1"/>
        <v>AG-Anteil zur Pflegeversicherung in Prozent</v>
      </c>
      <c r="N28" s="172"/>
      <c r="O28" s="172"/>
      <c r="P28" s="172"/>
      <c r="Q28" s="173"/>
      <c r="R28" s="174">
        <f t="shared" si="4"/>
        <v>1.7999999999999999E-2</v>
      </c>
      <c r="S28" s="175"/>
      <c r="T28" s="6">
        <f t="shared" si="5"/>
        <v>0</v>
      </c>
      <c r="U28" s="16">
        <f t="shared" si="5"/>
        <v>0</v>
      </c>
      <c r="V28" s="100">
        <f t="shared" si="5"/>
        <v>0</v>
      </c>
      <c r="W28" s="30"/>
    </row>
    <row r="29" spans="1:23" ht="18.75" customHeight="1" thickBot="1" x14ac:dyDescent="0.4">
      <c r="A29" s="203" t="s">
        <v>57</v>
      </c>
      <c r="B29" s="172"/>
      <c r="C29" s="172"/>
      <c r="D29" s="172"/>
      <c r="E29" s="172"/>
      <c r="F29" s="173"/>
      <c r="G29" s="174">
        <v>9.2999999999999999E-2</v>
      </c>
      <c r="H29" s="175"/>
      <c r="I29" s="1">
        <f t="shared" si="6"/>
        <v>0</v>
      </c>
      <c r="J29" s="16">
        <f t="shared" si="6"/>
        <v>0</v>
      </c>
      <c r="K29" s="16">
        <f t="shared" si="6"/>
        <v>0</v>
      </c>
      <c r="M29" s="176" t="str">
        <f t="shared" si="1"/>
        <v>Förderfähige AG-Vorsorgezahlungen (optional)</v>
      </c>
      <c r="N29" s="177"/>
      <c r="O29" s="177"/>
      <c r="P29" s="177"/>
      <c r="Q29" s="178"/>
      <c r="R29" s="179">
        <f t="shared" si="4"/>
        <v>0</v>
      </c>
      <c r="S29" s="180"/>
      <c r="T29" s="7">
        <f t="shared" si="5"/>
        <v>0</v>
      </c>
      <c r="U29" s="17">
        <f t="shared" si="5"/>
        <v>0</v>
      </c>
      <c r="V29" s="101"/>
      <c r="W29" s="30"/>
    </row>
    <row r="30" spans="1:23" ht="18.75" customHeight="1" x14ac:dyDescent="0.35">
      <c r="A30" s="203" t="s">
        <v>58</v>
      </c>
      <c r="B30" s="172"/>
      <c r="C30" s="172"/>
      <c r="D30" s="172"/>
      <c r="E30" s="172"/>
      <c r="F30" s="173"/>
      <c r="G30" s="174"/>
      <c r="H30" s="175"/>
      <c r="I30" s="1">
        <f t="shared" si="6"/>
        <v>0</v>
      </c>
      <c r="J30" s="16">
        <f t="shared" si="6"/>
        <v>0</v>
      </c>
      <c r="K30" s="16">
        <f t="shared" si="6"/>
        <v>0</v>
      </c>
      <c r="M30" s="242" t="str">
        <f t="shared" si="1"/>
        <v>Umlage 1 (Arbeitsunfähigkeit)</v>
      </c>
      <c r="N30" s="243"/>
      <c r="O30" s="243"/>
      <c r="P30" s="243"/>
      <c r="Q30" s="244"/>
      <c r="R30" s="239">
        <f t="shared" si="4"/>
        <v>2.1000000000000001E-2</v>
      </c>
      <c r="S30" s="240"/>
      <c r="T30" s="6">
        <f>ROUND($R30*T$16,2)</f>
        <v>0</v>
      </c>
      <c r="U30" s="18">
        <f t="shared" ref="U30:V30" si="7">ROUND($R30*U$16,2)</f>
        <v>0</v>
      </c>
      <c r="V30" s="100">
        <f t="shared" si="7"/>
        <v>0</v>
      </c>
      <c r="W30" s="30"/>
    </row>
    <row r="31" spans="1:23" ht="18.75" customHeight="1" x14ac:dyDescent="0.35">
      <c r="A31" s="203" t="s">
        <v>59</v>
      </c>
      <c r="B31" s="172"/>
      <c r="C31" s="172"/>
      <c r="D31" s="172"/>
      <c r="E31" s="172"/>
      <c r="F31" s="173"/>
      <c r="G31" s="174">
        <v>1.7999999999999999E-2</v>
      </c>
      <c r="H31" s="175"/>
      <c r="I31" s="1">
        <f t="shared" si="6"/>
        <v>0</v>
      </c>
      <c r="J31" s="16">
        <f t="shared" si="6"/>
        <v>0</v>
      </c>
      <c r="K31" s="16">
        <f t="shared" si="6"/>
        <v>0</v>
      </c>
      <c r="M31" s="171" t="str">
        <f t="shared" si="1"/>
        <v>Umlage 2 (Mutterschaft)</v>
      </c>
      <c r="N31" s="172"/>
      <c r="O31" s="172"/>
      <c r="P31" s="172"/>
      <c r="Q31" s="173"/>
      <c r="R31" s="174">
        <f t="shared" si="4"/>
        <v>4.4000000000000003E-3</v>
      </c>
      <c r="S31" s="175"/>
      <c r="T31" s="6">
        <f t="shared" ref="T31:V31" si="8">ROUND($R31*T$16,2)</f>
        <v>0</v>
      </c>
      <c r="U31" s="16">
        <f t="shared" si="8"/>
        <v>0</v>
      </c>
      <c r="V31" s="100">
        <f t="shared" si="8"/>
        <v>0</v>
      </c>
      <c r="W31" s="30"/>
    </row>
    <row r="32" spans="1:23" ht="18.75" customHeight="1" thickBot="1" x14ac:dyDescent="0.4">
      <c r="A32" s="197" t="s">
        <v>60</v>
      </c>
      <c r="B32" s="177"/>
      <c r="C32" s="177"/>
      <c r="D32" s="177"/>
      <c r="E32" s="177"/>
      <c r="F32" s="178"/>
      <c r="G32" s="198"/>
      <c r="H32" s="199"/>
      <c r="I32" s="7">
        <f>ROUND(I$25*$G32,2)</f>
        <v>0</v>
      </c>
      <c r="J32" s="17">
        <f>ROUND(J$25*$G32,2)</f>
        <v>0</v>
      </c>
      <c r="K32" s="68">
        <v>0</v>
      </c>
      <c r="M32" s="171" t="str">
        <f t="shared" si="1"/>
        <v>Umlage 3 (Insolvenz)</v>
      </c>
      <c r="N32" s="172"/>
      <c r="O32" s="172"/>
      <c r="P32" s="172"/>
      <c r="Q32" s="173"/>
      <c r="R32" s="174">
        <f t="shared" ref="R32" si="9">G35</f>
        <v>1.5E-3</v>
      </c>
      <c r="S32" s="175"/>
      <c r="T32" s="7">
        <f>ROUND($R32*T$22,2)</f>
        <v>0</v>
      </c>
      <c r="U32" s="17">
        <f>ROUND($R32*U$22,2)</f>
        <v>0</v>
      </c>
      <c r="V32" s="72">
        <f>ROUND($R32*V$22,2)</f>
        <v>0</v>
      </c>
    </row>
    <row r="33" spans="1:23" ht="18.75" customHeight="1" thickBot="1" x14ac:dyDescent="0.4">
      <c r="A33" s="256" t="s">
        <v>61</v>
      </c>
      <c r="B33" s="243"/>
      <c r="C33" s="243"/>
      <c r="D33" s="243"/>
      <c r="E33" s="243"/>
      <c r="F33" s="244"/>
      <c r="G33" s="252">
        <v>2.1000000000000001E-2</v>
      </c>
      <c r="H33" s="253"/>
      <c r="I33" s="6">
        <f t="shared" ref="I33:K34" si="10">ROUND(I$23*$G33,2)</f>
        <v>0</v>
      </c>
      <c r="J33" s="18">
        <f t="shared" si="10"/>
        <v>0</v>
      </c>
      <c r="K33" s="18">
        <f t="shared" si="10"/>
        <v>0</v>
      </c>
      <c r="M33" s="168" t="str">
        <f t="shared" si="1"/>
        <v>Arbeitgeber-SV gesamt</v>
      </c>
      <c r="N33" s="169"/>
      <c r="O33" s="169"/>
      <c r="P33" s="169"/>
      <c r="Q33" s="169"/>
      <c r="R33" s="169"/>
      <c r="S33" s="170"/>
      <c r="T33" s="22">
        <f>SUM(T23:T32)</f>
        <v>0</v>
      </c>
      <c r="U33" s="75">
        <f>SUM(U23:U32)</f>
        <v>0</v>
      </c>
      <c r="V33" s="23">
        <f>SUM(V23:V32)</f>
        <v>0</v>
      </c>
      <c r="W33" s="30"/>
    </row>
    <row r="34" spans="1:23" ht="19.5" customHeight="1" thickBot="1" x14ac:dyDescent="0.4">
      <c r="A34" s="203" t="s">
        <v>62</v>
      </c>
      <c r="B34" s="172"/>
      <c r="C34" s="172"/>
      <c r="D34" s="172"/>
      <c r="E34" s="172"/>
      <c r="F34" s="173"/>
      <c r="G34" s="254">
        <v>4.4000000000000003E-3</v>
      </c>
      <c r="H34" s="255"/>
      <c r="I34" s="6">
        <f t="shared" si="10"/>
        <v>0</v>
      </c>
      <c r="J34" s="18">
        <f t="shared" si="10"/>
        <v>0</v>
      </c>
      <c r="K34" s="18">
        <f t="shared" si="10"/>
        <v>0</v>
      </c>
      <c r="M34" s="165" t="s">
        <v>63</v>
      </c>
      <c r="N34" s="166"/>
      <c r="O34" s="166"/>
      <c r="P34" s="166"/>
      <c r="Q34" s="166"/>
      <c r="R34" s="166"/>
      <c r="S34" s="167"/>
      <c r="T34" s="22">
        <f>SUM(T33+T22+T14*P3)</f>
        <v>0</v>
      </c>
      <c r="U34" s="75">
        <f>SUM(U33+U22+U14*P3)</f>
        <v>0</v>
      </c>
      <c r="V34" s="75">
        <f>SUM(V33+V22+V14*P3)</f>
        <v>0</v>
      </c>
      <c r="W34" s="30"/>
    </row>
    <row r="35" spans="1:23" ht="18.75" customHeight="1" thickBot="1" x14ac:dyDescent="0.4">
      <c r="A35" s="197" t="s">
        <v>64</v>
      </c>
      <c r="B35" s="177"/>
      <c r="C35" s="177"/>
      <c r="D35" s="177"/>
      <c r="E35" s="177"/>
      <c r="F35" s="178"/>
      <c r="G35" s="225">
        <v>1.5E-3</v>
      </c>
      <c r="H35" s="226"/>
      <c r="I35" s="7">
        <f>ROUND(I$25*$G35,2)</f>
        <v>0</v>
      </c>
      <c r="J35" s="17">
        <f>ROUND(J$25*$G35,2)</f>
        <v>0</v>
      </c>
      <c r="K35" s="17">
        <f>ROUND(K$25*$G35,2)</f>
        <v>0</v>
      </c>
      <c r="M35" s="165" t="s">
        <v>65</v>
      </c>
      <c r="N35" s="166"/>
      <c r="O35" s="166"/>
      <c r="P35" s="166"/>
      <c r="Q35" s="166"/>
      <c r="R35" s="166"/>
      <c r="S35" s="167"/>
      <c r="T35" s="22">
        <f>IF($P3&gt;0,SUM(I37,T34),0)</f>
        <v>0</v>
      </c>
      <c r="U35" s="66">
        <f>IF($P3&gt;0,SUM(J37,U34),0)</f>
        <v>0</v>
      </c>
      <c r="V35" s="23">
        <f>IF($P3&gt;0,SUM(K37,V34),0)</f>
        <v>0</v>
      </c>
      <c r="W35" s="30"/>
    </row>
    <row r="36" spans="1:23" ht="18.75" customHeight="1" thickBot="1" x14ac:dyDescent="0.4">
      <c r="A36" s="168" t="s">
        <v>66</v>
      </c>
      <c r="B36" s="169"/>
      <c r="C36" s="169"/>
      <c r="D36" s="169"/>
      <c r="E36" s="169"/>
      <c r="F36" s="169"/>
      <c r="G36" s="169"/>
      <c r="H36" s="170"/>
      <c r="I36" s="22">
        <f>SUM(I26:I35)</f>
        <v>0</v>
      </c>
      <c r="J36" s="75">
        <f>SUM(J26:J35)</f>
        <v>0</v>
      </c>
      <c r="K36" s="23">
        <f>SUM(K26:K35)</f>
        <v>0</v>
      </c>
      <c r="M36" s="165" t="s">
        <v>67</v>
      </c>
      <c r="N36" s="166"/>
      <c r="O36" s="166"/>
      <c r="P36" s="166"/>
      <c r="Q36" s="166"/>
      <c r="R36" s="166"/>
      <c r="S36" s="166"/>
      <c r="T36" s="216"/>
      <c r="U36" s="66">
        <f>U35/(P3+E10)</f>
        <v>0</v>
      </c>
      <c r="V36" s="23">
        <f>V35/(P3+E10)</f>
        <v>0</v>
      </c>
      <c r="W36" s="30"/>
    </row>
    <row r="37" spans="1:23" ht="18.75" customHeight="1" thickBot="1" x14ac:dyDescent="0.4">
      <c r="A37" s="165" t="s">
        <v>63</v>
      </c>
      <c r="B37" s="166"/>
      <c r="C37" s="166"/>
      <c r="D37" s="166"/>
      <c r="E37" s="166"/>
      <c r="F37" s="166"/>
      <c r="G37" s="166"/>
      <c r="H37" s="167"/>
      <c r="I37" s="8">
        <f>I25+I36+I21*E10</f>
        <v>0</v>
      </c>
      <c r="J37" s="8">
        <f>J25+J36+J21*E10</f>
        <v>0</v>
      </c>
      <c r="K37" s="8">
        <f>K25+K36+K21*E10</f>
        <v>0</v>
      </c>
      <c r="M37" s="162"/>
      <c r="N37" s="163"/>
      <c r="O37" s="163"/>
      <c r="P37" s="163"/>
      <c r="Q37" s="164"/>
      <c r="R37" s="213" t="s">
        <v>68</v>
      </c>
      <c r="S37" s="214"/>
      <c r="T37" s="215"/>
      <c r="U37" s="227">
        <f>V35-U35</f>
        <v>0</v>
      </c>
      <c r="V37" s="228"/>
      <c r="W37" s="30"/>
    </row>
    <row r="38" spans="1:23" ht="18.75" customHeight="1" thickBot="1" x14ac:dyDescent="0.4">
      <c r="A38" s="165" t="s">
        <v>67</v>
      </c>
      <c r="B38" s="166"/>
      <c r="C38" s="166"/>
      <c r="D38" s="166"/>
      <c r="E38" s="166"/>
      <c r="F38" s="166"/>
      <c r="G38" s="166"/>
      <c r="H38" s="166"/>
      <c r="I38" s="70"/>
      <c r="J38" s="71">
        <f>J37/E10</f>
        <v>0</v>
      </c>
      <c r="K38" s="23">
        <f>K37/E10</f>
        <v>0</v>
      </c>
      <c r="M38" s="87" t="s">
        <v>69</v>
      </c>
      <c r="N38" s="88"/>
      <c r="O38" s="88"/>
      <c r="P38" s="88"/>
      <c r="Q38" s="88"/>
      <c r="R38" s="89"/>
      <c r="S38" s="89"/>
      <c r="T38" s="89"/>
      <c r="U38" s="77"/>
      <c r="V38" s="77"/>
      <c r="W38" s="30"/>
    </row>
    <row r="39" spans="1:23" ht="18.75" customHeight="1" thickBot="1" x14ac:dyDescent="0.4">
      <c r="A39" s="162"/>
      <c r="B39" s="163"/>
      <c r="C39" s="163"/>
      <c r="D39" s="163"/>
      <c r="E39" s="163"/>
      <c r="F39" s="164"/>
      <c r="G39" s="213" t="s">
        <v>68</v>
      </c>
      <c r="H39" s="214"/>
      <c r="I39" s="215"/>
      <c r="J39" s="227">
        <f>K37-J37</f>
        <v>0</v>
      </c>
      <c r="K39" s="228"/>
      <c r="M39" s="151"/>
      <c r="N39" s="152"/>
      <c r="O39" s="152"/>
      <c r="P39" s="152"/>
      <c r="Q39" s="152"/>
      <c r="R39" s="152"/>
      <c r="S39" s="152"/>
      <c r="T39" s="152"/>
      <c r="U39" s="152"/>
      <c r="V39" s="153"/>
      <c r="W39" s="30"/>
    </row>
    <row r="40" spans="1:23" ht="18.75" customHeight="1" x14ac:dyDescent="0.35">
      <c r="A40" s="31" t="s">
        <v>70</v>
      </c>
      <c r="B40" s="31"/>
      <c r="C40" s="31"/>
      <c r="D40" s="31"/>
      <c r="E40" s="31"/>
      <c r="F40" s="31"/>
      <c r="M40" s="154"/>
      <c r="N40" s="155"/>
      <c r="O40" s="155"/>
      <c r="P40" s="155"/>
      <c r="Q40" s="155"/>
      <c r="R40" s="155"/>
      <c r="S40" s="155"/>
      <c r="T40" s="155"/>
      <c r="U40" s="155"/>
      <c r="V40" s="156"/>
      <c r="W40" s="30"/>
    </row>
    <row r="41" spans="1:23" ht="18.75" customHeight="1" x14ac:dyDescent="0.35">
      <c r="A41" s="44" t="s">
        <v>71</v>
      </c>
      <c r="M41" s="157"/>
      <c r="N41" s="158"/>
      <c r="O41" s="158"/>
      <c r="P41" s="158"/>
      <c r="Q41" s="158"/>
      <c r="R41" s="158"/>
      <c r="S41" s="158"/>
      <c r="T41" s="158"/>
      <c r="U41" s="158"/>
      <c r="V41" s="159"/>
      <c r="W41" s="30"/>
    </row>
    <row r="42" spans="1:23" ht="15" customHeight="1" x14ac:dyDescent="0.35">
      <c r="M42" s="31" t="s">
        <v>72</v>
      </c>
      <c r="W42" s="30"/>
    </row>
    <row r="43" spans="1:23" ht="28.5" customHeight="1" x14ac:dyDescent="0.35">
      <c r="L43" s="36"/>
      <c r="M43" s="94"/>
      <c r="N43" s="95"/>
      <c r="O43" s="192"/>
      <c r="P43" s="192"/>
      <c r="Q43" s="192"/>
      <c r="R43" s="192"/>
      <c r="S43" s="192"/>
      <c r="U43" s="193"/>
      <c r="V43" s="193"/>
      <c r="W43" s="30"/>
    </row>
    <row r="44" spans="1:23" ht="14.25" customHeight="1" x14ac:dyDescent="0.25">
      <c r="B44" s="123"/>
      <c r="M44" s="80" t="s">
        <v>73</v>
      </c>
      <c r="N44" s="86"/>
      <c r="O44" s="149" t="s">
        <v>74</v>
      </c>
      <c r="P44" s="149"/>
      <c r="Q44" s="149"/>
      <c r="R44" s="149"/>
      <c r="S44" s="149"/>
      <c r="T44" s="78"/>
      <c r="U44" s="149" t="s">
        <v>75</v>
      </c>
      <c r="V44" s="149"/>
    </row>
    <row r="45" spans="1:23" s="78" customFormat="1" ht="15" customHeight="1" x14ac:dyDescent="0.3">
      <c r="A45" s="2"/>
      <c r="B45" s="2"/>
      <c r="C45" s="2"/>
      <c r="D45" s="2"/>
      <c r="E45" s="2"/>
      <c r="F45" s="2"/>
      <c r="G45" s="2"/>
      <c r="H45" s="2"/>
      <c r="I45" s="2"/>
      <c r="J45" s="2"/>
      <c r="K45" s="2"/>
      <c r="M45" s="81" t="s">
        <v>76</v>
      </c>
      <c r="N45" s="90"/>
      <c r="O45" s="90"/>
      <c r="P45" s="90"/>
      <c r="Q45" s="90"/>
      <c r="R45" s="90"/>
      <c r="S45" s="90"/>
      <c r="T45" s="90"/>
      <c r="U45" s="79"/>
      <c r="V45" s="79"/>
    </row>
    <row r="46" spans="1:23" ht="11.5" customHeight="1" x14ac:dyDescent="0.3">
      <c r="M46" s="91" t="s">
        <v>77</v>
      </c>
      <c r="N46" s="43"/>
      <c r="O46" s="43"/>
      <c r="P46" s="44"/>
      <c r="Q46" s="44"/>
      <c r="R46" s="44"/>
      <c r="S46" s="45"/>
      <c r="T46" s="45"/>
      <c r="U46" s="45"/>
      <c r="V46" s="21"/>
      <c r="W46" s="30"/>
    </row>
    <row r="47" spans="1:23" ht="40" customHeight="1" x14ac:dyDescent="0.35">
      <c r="M47" s="140"/>
      <c r="N47" s="141"/>
      <c r="O47" s="141"/>
      <c r="P47" s="141"/>
      <c r="Q47" s="141"/>
      <c r="R47" s="141"/>
      <c r="S47" s="141"/>
      <c r="T47" s="141"/>
      <c r="U47" s="141"/>
      <c r="V47" s="142"/>
      <c r="W47" s="30"/>
    </row>
    <row r="48" spans="1:23" ht="7" customHeight="1" x14ac:dyDescent="0.35">
      <c r="M48" s="80"/>
      <c r="N48" s="80"/>
      <c r="O48" s="80"/>
      <c r="P48" s="80"/>
      <c r="Q48" s="80"/>
      <c r="R48" s="80"/>
      <c r="S48" s="80"/>
      <c r="T48" s="80"/>
      <c r="U48" s="80"/>
      <c r="V48" s="80"/>
    </row>
    <row r="49" spans="13:22" ht="13" customHeight="1" x14ac:dyDescent="0.35">
      <c r="M49" s="143" t="s">
        <v>78</v>
      </c>
      <c r="N49" s="143"/>
      <c r="O49" s="143"/>
      <c r="P49" s="143"/>
      <c r="Q49" s="143"/>
      <c r="R49" s="143"/>
      <c r="S49" s="46"/>
      <c r="T49" s="46"/>
      <c r="U49" s="47"/>
      <c r="V49" s="47"/>
    </row>
    <row r="50" spans="13:22" ht="12" customHeight="1" x14ac:dyDescent="0.35">
      <c r="M50" s="144" t="s">
        <v>79</v>
      </c>
      <c r="N50" s="144"/>
      <c r="O50" s="144"/>
      <c r="P50" s="144"/>
      <c r="Q50" s="144"/>
      <c r="R50" s="144"/>
      <c r="S50" s="46"/>
      <c r="T50" s="46"/>
      <c r="U50" s="47"/>
      <c r="V50" s="46"/>
    </row>
    <row r="51" spans="13:22" ht="9" customHeight="1" x14ac:dyDescent="0.35">
      <c r="M51" s="144" t="s">
        <v>80</v>
      </c>
      <c r="N51" s="144"/>
      <c r="O51" s="144"/>
      <c r="P51" s="144"/>
      <c r="Q51" s="144"/>
      <c r="R51" s="144"/>
      <c r="S51" s="46"/>
      <c r="T51" s="46"/>
      <c r="U51" s="47"/>
      <c r="V51" s="46"/>
    </row>
    <row r="52" spans="13:22" ht="12" customHeight="1" x14ac:dyDescent="0.35">
      <c r="M52" s="46"/>
      <c r="N52" s="46"/>
      <c r="O52" s="46"/>
      <c r="P52" s="46"/>
      <c r="Q52" s="48"/>
      <c r="R52" s="48"/>
      <c r="S52" s="48"/>
      <c r="T52" s="48"/>
      <c r="U52" s="48"/>
      <c r="V52" s="48"/>
    </row>
    <row r="53" spans="13:22" ht="14.5" x14ac:dyDescent="0.35">
      <c r="M53" s="85"/>
      <c r="N53" s="96"/>
      <c r="O53" s="160"/>
      <c r="P53" s="161"/>
      <c r="Q53" s="161"/>
      <c r="R53" s="161"/>
      <c r="S53" s="161"/>
      <c r="U53" s="92"/>
    </row>
    <row r="54" spans="13:22" ht="15" customHeight="1" x14ac:dyDescent="0.35">
      <c r="M54" s="145" t="s">
        <v>81</v>
      </c>
      <c r="N54" s="146"/>
      <c r="O54" s="147" t="s">
        <v>82</v>
      </c>
      <c r="P54" s="148"/>
      <c r="Q54" s="148"/>
      <c r="R54" s="148"/>
      <c r="S54" s="148"/>
      <c r="T54" s="93"/>
      <c r="U54" s="149" t="s">
        <v>83</v>
      </c>
      <c r="V54" s="150"/>
    </row>
    <row r="55" spans="13:22" x14ac:dyDescent="0.35">
      <c r="N55" s="37"/>
      <c r="O55" s="2"/>
      <c r="P55" s="2"/>
      <c r="Q55" s="2"/>
      <c r="R55" s="2"/>
    </row>
    <row r="56" spans="13:22" x14ac:dyDescent="0.35">
      <c r="N56" s="37"/>
      <c r="O56" s="2"/>
      <c r="P56" s="2"/>
      <c r="Q56" s="2"/>
      <c r="R56" s="2"/>
    </row>
    <row r="57" spans="13:22" x14ac:dyDescent="0.35">
      <c r="N57" s="37"/>
      <c r="O57" s="2"/>
      <c r="P57" s="2"/>
      <c r="Q57" s="2"/>
      <c r="R57" s="2"/>
    </row>
    <row r="59" spans="13:22" x14ac:dyDescent="0.35">
      <c r="O59" s="2"/>
      <c r="P59" s="2"/>
      <c r="Q59" s="2"/>
      <c r="R59" s="2"/>
    </row>
    <row r="70" spans="15:18" x14ac:dyDescent="0.35">
      <c r="O70" s="2"/>
      <c r="P70" s="2"/>
      <c r="Q70" s="2"/>
      <c r="R70" s="2"/>
    </row>
  </sheetData>
  <sheetProtection algorithmName="SHA-512" hashValue="AjhCtVun7x3Vz6LP20LtAS1tTY7u42Z/rPeno5Wh+udP+QED+nd9QrVgFj3FjncxGCgEQgmzCUSSiveVLNnHPg==" saltValue="PES8cBd1y6x0wpuIZUS+yg==" spinCount="100000" sheet="1" formatCells="0" formatColumns="0" formatRows="0" selectLockedCells="1"/>
  <mergeCells count="133">
    <mergeCell ref="A1:H1"/>
    <mergeCell ref="P3:R3"/>
    <mergeCell ref="P4:R4"/>
    <mergeCell ref="S4:T4"/>
    <mergeCell ref="E9:G9"/>
    <mergeCell ref="E10:G10"/>
    <mergeCell ref="P2:R2"/>
    <mergeCell ref="E2:K2"/>
    <mergeCell ref="E3:K3"/>
    <mergeCell ref="E4:K4"/>
    <mergeCell ref="E5:K5"/>
    <mergeCell ref="E6:K6"/>
    <mergeCell ref="E7:I7"/>
    <mergeCell ref="A2:D2"/>
    <mergeCell ref="A3:D3"/>
    <mergeCell ref="A4:D4"/>
    <mergeCell ref="A5:D5"/>
    <mergeCell ref="A6:D6"/>
    <mergeCell ref="A7:D7"/>
    <mergeCell ref="A8:D8"/>
    <mergeCell ref="M4:O4"/>
    <mergeCell ref="M3:O3"/>
    <mergeCell ref="M2:O2"/>
    <mergeCell ref="P5:R5"/>
    <mergeCell ref="T5:V5"/>
    <mergeCell ref="R23:S23"/>
    <mergeCell ref="T17:V17"/>
    <mergeCell ref="M15:S15"/>
    <mergeCell ref="U37:V37"/>
    <mergeCell ref="G31:H31"/>
    <mergeCell ref="A31:F31"/>
    <mergeCell ref="A27:B27"/>
    <mergeCell ref="C27:H27"/>
    <mergeCell ref="G33:H33"/>
    <mergeCell ref="G34:H34"/>
    <mergeCell ref="A33:F33"/>
    <mergeCell ref="G30:H30"/>
    <mergeCell ref="M27:Q27"/>
    <mergeCell ref="R27:S27"/>
    <mergeCell ref="G28:H28"/>
    <mergeCell ref="M10:S10"/>
    <mergeCell ref="E8:K8"/>
    <mergeCell ref="M5:O5"/>
    <mergeCell ref="A21:H21"/>
    <mergeCell ref="M25:Q25"/>
    <mergeCell ref="M23:Q23"/>
    <mergeCell ref="A29:F29"/>
    <mergeCell ref="G29:H29"/>
    <mergeCell ref="A23:H23"/>
    <mergeCell ref="G24:H24"/>
    <mergeCell ref="A25:H25"/>
    <mergeCell ref="R30:S30"/>
    <mergeCell ref="M12:S12"/>
    <mergeCell ref="M22:S22"/>
    <mergeCell ref="M21:S21"/>
    <mergeCell ref="M20:S20"/>
    <mergeCell ref="M19:S19"/>
    <mergeCell ref="M18:S18"/>
    <mergeCell ref="M16:S16"/>
    <mergeCell ref="M30:Q30"/>
    <mergeCell ref="N24:S24"/>
    <mergeCell ref="M14:S14"/>
    <mergeCell ref="A22:H22"/>
    <mergeCell ref="G39:I39"/>
    <mergeCell ref="M36:T36"/>
    <mergeCell ref="M11:S11"/>
    <mergeCell ref="R25:S25"/>
    <mergeCell ref="R26:S26"/>
    <mergeCell ref="G26:H26"/>
    <mergeCell ref="R17:S17"/>
    <mergeCell ref="M17:Q17"/>
    <mergeCell ref="A37:H37"/>
    <mergeCell ref="G35:H35"/>
    <mergeCell ref="A36:H36"/>
    <mergeCell ref="A35:F35"/>
    <mergeCell ref="J39:K39"/>
    <mergeCell ref="E11:G11"/>
    <mergeCell ref="H11:I11"/>
    <mergeCell ref="A11:D11"/>
    <mergeCell ref="A18:H18"/>
    <mergeCell ref="A26:F26"/>
    <mergeCell ref="A28:F28"/>
    <mergeCell ref="M26:Q26"/>
    <mergeCell ref="R31:S31"/>
    <mergeCell ref="R32:S32"/>
    <mergeCell ref="M31:Q31"/>
    <mergeCell ref="M28:Q28"/>
    <mergeCell ref="M1:V1"/>
    <mergeCell ref="A13:H16"/>
    <mergeCell ref="I13:I16"/>
    <mergeCell ref="J13:J16"/>
    <mergeCell ref="K13:K16"/>
    <mergeCell ref="O43:S43"/>
    <mergeCell ref="U43:V43"/>
    <mergeCell ref="O44:S44"/>
    <mergeCell ref="U44:V44"/>
    <mergeCell ref="A9:D9"/>
    <mergeCell ref="A10:D10"/>
    <mergeCell ref="A32:F32"/>
    <mergeCell ref="G32:H32"/>
    <mergeCell ref="A24:F24"/>
    <mergeCell ref="A30:F30"/>
    <mergeCell ref="A39:F39"/>
    <mergeCell ref="A12:D12"/>
    <mergeCell ref="E12:G12"/>
    <mergeCell ref="I12:K12"/>
    <mergeCell ref="A38:H38"/>
    <mergeCell ref="A17:H17"/>
    <mergeCell ref="A20:H20"/>
    <mergeCell ref="R37:T37"/>
    <mergeCell ref="A34:F34"/>
    <mergeCell ref="M6:S9"/>
    <mergeCell ref="T6:T9"/>
    <mergeCell ref="U6:U9"/>
    <mergeCell ref="V6:V9"/>
    <mergeCell ref="M47:V47"/>
    <mergeCell ref="M49:R49"/>
    <mergeCell ref="M50:R50"/>
    <mergeCell ref="M51:R51"/>
    <mergeCell ref="M54:N54"/>
    <mergeCell ref="O54:S54"/>
    <mergeCell ref="U54:V54"/>
    <mergeCell ref="M39:V41"/>
    <mergeCell ref="O53:S53"/>
    <mergeCell ref="M37:Q37"/>
    <mergeCell ref="M35:S35"/>
    <mergeCell ref="M34:S34"/>
    <mergeCell ref="M33:S33"/>
    <mergeCell ref="M32:Q32"/>
    <mergeCell ref="R28:S28"/>
    <mergeCell ref="M29:Q29"/>
    <mergeCell ref="R29:S29"/>
    <mergeCell ref="M13:S13"/>
  </mergeCells>
  <conditionalFormatting sqref="J39:K39">
    <cfRule type="cellIs" dxfId="5" priority="7" operator="greaterThan">
      <formula>0</formula>
    </cfRule>
  </conditionalFormatting>
  <conditionalFormatting sqref="K17:K18">
    <cfRule type="cellIs" dxfId="4" priority="5" operator="greaterThan">
      <formula>$J17</formula>
    </cfRule>
  </conditionalFormatting>
  <conditionalFormatting sqref="K24">
    <cfRule type="cellIs" dxfId="3" priority="8" operator="greaterThan">
      <formula>$J$24</formula>
    </cfRule>
  </conditionalFormatting>
  <conditionalFormatting sqref="U37:V38">
    <cfRule type="cellIs" dxfId="2" priority="1" operator="greaterThan">
      <formula>0</formula>
    </cfRule>
  </conditionalFormatting>
  <conditionalFormatting sqref="V10:V11">
    <cfRule type="cellIs" dxfId="1" priority="3" operator="greaterThan">
      <formula>$U10</formula>
    </cfRule>
  </conditionalFormatting>
  <conditionalFormatting sqref="V21">
    <cfRule type="cellIs" dxfId="0" priority="9" operator="greaterThan">
      <formula>$U$21</formula>
    </cfRule>
  </conditionalFormatting>
  <dataValidations count="6">
    <dataValidation type="date" allowBlank="1" showInputMessage="1" showErrorMessage="1" sqref="E11:G11" xr:uid="{00000000-0002-0000-0100-000000000000}">
      <formula1>DATEVALUE("01.01."&amp;(I1))</formula1>
      <formula2>DATEVALUE("31.12."&amp;(I1))</formula2>
    </dataValidation>
    <dataValidation type="date" allowBlank="1" showInputMessage="1" showErrorMessage="1" sqref="J11" xr:uid="{00000000-0002-0000-0100-000001000000}">
      <formula1>E11</formula1>
      <formula2>DATEVALUE("31.12."&amp;(I1))</formula2>
    </dataValidation>
    <dataValidation type="date" allowBlank="1" showInputMessage="1" showErrorMessage="1" sqref="P4:R4" xr:uid="{00000000-0002-0000-0100-000002000000}">
      <formula1>J11</formula1>
      <formula2>DATEVALUE("31.12."&amp;(I1))</formula2>
    </dataValidation>
    <dataValidation type="custom" errorTitle="Jahressonderzahlung" error="Wenn das Arbeitsverhältnis vor dem 1.12. beendet wurde, bekommt der Beschäftigte keine Jahressonderzahlung." sqref="K24" xr:uid="{00000000-0002-0000-0100-000005000000}">
      <formula1>#REF!&gt;43800</formula1>
    </dataValidation>
    <dataValidation type="date" allowBlank="1" showInputMessage="1" showErrorMessage="1" sqref="U4" xr:uid="{00000000-0002-0000-0100-000003000000}">
      <formula1>P4</formula1>
      <formula2>DATEVALUE("31.12."&amp;(I1))</formula2>
    </dataValidation>
    <dataValidation type="custom" showInputMessage="1" showErrorMessage="1" errorTitle="Krankenkasse" error="Bitte füllen Sie die Bezeichnung der Krankenkasse aus!" sqref="G28:H28" xr:uid="{8772B225-80EB-410F-966B-251D90F1D0A5}">
      <formula1>NOT(ISBLANK($C$27))</formula1>
    </dataValidation>
  </dataValidations>
  <pageMargins left="0.59055118110236227" right="0.43307086614173229" top="0.94488188976377963" bottom="0.35433070866141736" header="0.31496062992125984" footer="0.19685039370078741"/>
  <pageSetup paperSize="9" scale="81" fitToWidth="0" orientation="portrait" r:id="rId1"/>
  <headerFooter>
    <oddHeader>&amp;R&amp;G</oddHeader>
    <oddFooter>&amp;L&amp;9V. 1.02
Stand 10.08.2026</oddFooter>
  </headerFooter>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044" r:id="rId5" name="Check Box 20">
              <controlPr defaultSize="0" autoFill="0" autoLine="0" autoPict="0">
                <anchor moveWithCells="1">
                  <from>
                    <xdr:col>18</xdr:col>
                    <xdr:colOff>184150</xdr:colOff>
                    <xdr:row>48</xdr:row>
                    <xdr:rowOff>0</xdr:rowOff>
                  </from>
                  <to>
                    <xdr:col>18</xdr:col>
                    <xdr:colOff>565150</xdr:colOff>
                    <xdr:row>49</xdr:row>
                    <xdr:rowOff>76200</xdr:rowOff>
                  </to>
                </anchor>
              </controlPr>
            </control>
          </mc:Choice>
        </mc:AlternateContent>
        <mc:AlternateContent xmlns:mc="http://schemas.openxmlformats.org/markup-compatibility/2006">
          <mc:Choice Requires="x14">
            <control shapeId="1045" r:id="rId6" name="Check Box 21">
              <controlPr defaultSize="0" autoFill="0" autoLine="0" autoPict="0">
                <anchor moveWithCells="1">
                  <from>
                    <xdr:col>20</xdr:col>
                    <xdr:colOff>0</xdr:colOff>
                    <xdr:row>48</xdr:row>
                    <xdr:rowOff>0</xdr:rowOff>
                  </from>
                  <to>
                    <xdr:col>20</xdr:col>
                    <xdr:colOff>533400</xdr:colOff>
                    <xdr:row>49</xdr:row>
                    <xdr:rowOff>19050</xdr:rowOff>
                  </to>
                </anchor>
              </controlPr>
            </control>
          </mc:Choice>
        </mc:AlternateContent>
        <mc:AlternateContent xmlns:mc="http://schemas.openxmlformats.org/markup-compatibility/2006">
          <mc:Choice Requires="x14">
            <control shapeId="1046" r:id="rId7" name="Check Box 22">
              <controlPr defaultSize="0" autoFill="0" autoLine="0" autoPict="0">
                <anchor moveWithCells="1">
                  <from>
                    <xdr:col>18</xdr:col>
                    <xdr:colOff>184150</xdr:colOff>
                    <xdr:row>48</xdr:row>
                    <xdr:rowOff>184150</xdr:rowOff>
                  </from>
                  <to>
                    <xdr:col>18</xdr:col>
                    <xdr:colOff>565150</xdr:colOff>
                    <xdr:row>50</xdr:row>
                    <xdr:rowOff>82550</xdr:rowOff>
                  </to>
                </anchor>
              </controlPr>
            </control>
          </mc:Choice>
        </mc:AlternateContent>
        <mc:AlternateContent xmlns:mc="http://schemas.openxmlformats.org/markup-compatibility/2006">
          <mc:Choice Requires="x14">
            <control shapeId="1047" r:id="rId8" name="Check Box 23">
              <controlPr defaultSize="0" autoFill="0" autoLine="0" autoPict="0">
                <anchor moveWithCells="1">
                  <from>
                    <xdr:col>20</xdr:col>
                    <xdr:colOff>0</xdr:colOff>
                    <xdr:row>48</xdr:row>
                    <xdr:rowOff>190500</xdr:rowOff>
                  </from>
                  <to>
                    <xdr:col>20</xdr:col>
                    <xdr:colOff>533400</xdr:colOff>
                    <xdr:row>50</xdr:row>
                    <xdr:rowOff>95250</xdr:rowOff>
                  </to>
                </anchor>
              </controlPr>
            </control>
          </mc:Choice>
        </mc:AlternateContent>
        <mc:AlternateContent xmlns:mc="http://schemas.openxmlformats.org/markup-compatibility/2006">
          <mc:Choice Requires="x14">
            <control shapeId="1048" r:id="rId9" name="Check Box 24">
              <controlPr defaultSize="0" autoFill="0" autoLine="0" autoPict="0">
                <anchor moveWithCells="1">
                  <from>
                    <xdr:col>18</xdr:col>
                    <xdr:colOff>184150</xdr:colOff>
                    <xdr:row>49</xdr:row>
                    <xdr:rowOff>184150</xdr:rowOff>
                  </from>
                  <to>
                    <xdr:col>18</xdr:col>
                    <xdr:colOff>565150</xdr:colOff>
                    <xdr:row>51</xdr:row>
                    <xdr:rowOff>82550</xdr:rowOff>
                  </to>
                </anchor>
              </controlPr>
            </control>
          </mc:Choice>
        </mc:AlternateContent>
        <mc:AlternateContent xmlns:mc="http://schemas.openxmlformats.org/markup-compatibility/2006">
          <mc:Choice Requires="x14">
            <control shapeId="1049" r:id="rId10" name="Check Box 25">
              <controlPr defaultSize="0" autoFill="0" autoLine="0" autoPict="0">
                <anchor moveWithCells="1">
                  <from>
                    <xdr:col>20</xdr:col>
                    <xdr:colOff>0</xdr:colOff>
                    <xdr:row>49</xdr:row>
                    <xdr:rowOff>190500</xdr:rowOff>
                  </from>
                  <to>
                    <xdr:col>20</xdr:col>
                    <xdr:colOff>533400</xdr:colOff>
                    <xdr:row>51</xdr:row>
                    <xdr:rowOff>95250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ErrorMessage="1" xr:uid="{00000000-0002-0000-0100-000004000000}">
          <x14:formula1>
            <xm:f>Werte!$B$3:$B$210</xm:f>
          </x14:formula1>
          <xm:sqref>P2:R2 E9:G9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932C-8582-4675-8389-353650F774A5}">
  <dimension ref="B2:X268"/>
  <sheetViews>
    <sheetView zoomScale="130" zoomScaleNormal="130" workbookViewId="0">
      <selection activeCell="H16" sqref="H16"/>
    </sheetView>
  </sheetViews>
  <sheetFormatPr baseColWidth="10" defaultColWidth="11.453125" defaultRowHeight="14.5" x14ac:dyDescent="0.35"/>
  <cols>
    <col min="1" max="4" width="11.453125" style="9"/>
    <col min="5" max="5" width="15.54296875" style="110" customWidth="1"/>
    <col min="6" max="8" width="11.453125" style="9"/>
    <col min="9" max="9" width="11.453125" style="10"/>
    <col min="10" max="16384" width="11.453125" style="9"/>
  </cols>
  <sheetData>
    <row r="2" spans="2:24" ht="15.5" x14ac:dyDescent="0.35">
      <c r="E2" s="109" t="s">
        <v>292</v>
      </c>
      <c r="F2" s="9">
        <v>3</v>
      </c>
    </row>
    <row r="3" spans="2:24" ht="15.5" x14ac:dyDescent="0.35">
      <c r="B3" s="11" t="s">
        <v>84</v>
      </c>
      <c r="M3" s="12"/>
    </row>
    <row r="4" spans="2:24" x14ac:dyDescent="0.35">
      <c r="B4" s="9" t="s">
        <v>85</v>
      </c>
      <c r="C4" s="25">
        <v>6857.14</v>
      </c>
      <c r="D4" s="20">
        <v>0.32529999999999998</v>
      </c>
      <c r="E4" s="110">
        <v>6994.28</v>
      </c>
      <c r="F4" s="25"/>
      <c r="G4" s="74"/>
      <c r="I4" s="19"/>
      <c r="M4" s="14"/>
    </row>
    <row r="5" spans="2:24" x14ac:dyDescent="0.35">
      <c r="B5" s="9" t="s">
        <v>86</v>
      </c>
      <c r="C5" s="25">
        <v>7587.33</v>
      </c>
      <c r="D5" s="20">
        <v>0.32529999999999998</v>
      </c>
      <c r="E5" s="110">
        <v>7739.08</v>
      </c>
      <c r="F5" s="25"/>
      <c r="G5" s="74"/>
      <c r="I5" s="19"/>
      <c r="J5" s="14"/>
      <c r="M5" s="14"/>
    </row>
    <row r="6" spans="2:24" x14ac:dyDescent="0.35">
      <c r="B6" s="9" t="s">
        <v>87</v>
      </c>
      <c r="C6" s="25">
        <v>8280.33</v>
      </c>
      <c r="D6" s="20">
        <v>0.32529999999999998</v>
      </c>
      <c r="E6" s="110">
        <v>8445.94</v>
      </c>
      <c r="F6" s="25"/>
      <c r="G6" s="74"/>
      <c r="I6" s="19"/>
      <c r="J6" s="14"/>
      <c r="M6" s="14"/>
    </row>
    <row r="7" spans="2:24" x14ac:dyDescent="0.35">
      <c r="B7" s="9" t="s">
        <v>88</v>
      </c>
      <c r="C7" s="25">
        <v>8734.83</v>
      </c>
      <c r="D7" s="20">
        <v>0.32529999999999998</v>
      </c>
      <c r="E7" s="110">
        <v>8909.5300000000007</v>
      </c>
      <c r="F7" s="25"/>
      <c r="G7" s="74"/>
      <c r="I7" s="19"/>
      <c r="J7" s="14"/>
      <c r="M7" s="14"/>
    </row>
    <row r="8" spans="2:24" x14ac:dyDescent="0.35">
      <c r="B8" s="9" t="s">
        <v>89</v>
      </c>
      <c r="C8" s="25">
        <v>8846.64</v>
      </c>
      <c r="D8" s="20">
        <v>0.32529999999999998</v>
      </c>
      <c r="E8" s="110">
        <v>9023.57</v>
      </c>
      <c r="F8" s="25"/>
      <c r="G8" s="74"/>
      <c r="I8" s="19"/>
      <c r="J8" s="14"/>
      <c r="M8" s="14"/>
    </row>
    <row r="9" spans="2:24" x14ac:dyDescent="0.35">
      <c r="B9" s="13" t="s">
        <v>90</v>
      </c>
      <c r="C9" s="25">
        <v>5658.38</v>
      </c>
      <c r="D9" s="20">
        <v>0.32529999999999998</v>
      </c>
      <c r="E9" s="110">
        <v>5771.55</v>
      </c>
      <c r="F9" s="25"/>
      <c r="G9" s="74"/>
      <c r="I9" s="19"/>
      <c r="J9" s="14"/>
      <c r="M9" s="14"/>
    </row>
    <row r="10" spans="2:24" x14ac:dyDescent="0.35">
      <c r="B10" s="13" t="s">
        <v>91</v>
      </c>
      <c r="C10" s="25">
        <v>6067.3</v>
      </c>
      <c r="D10" s="20">
        <v>0.32529999999999998</v>
      </c>
      <c r="E10" s="110">
        <v>6188.65</v>
      </c>
      <c r="F10" s="25"/>
      <c r="G10" s="74"/>
      <c r="I10" s="19"/>
      <c r="J10" s="14"/>
      <c r="M10" s="14"/>
      <c r="S10" s="19"/>
      <c r="T10" s="19"/>
      <c r="U10" s="19"/>
      <c r="V10" s="19"/>
      <c r="W10" s="19"/>
      <c r="X10" s="19"/>
    </row>
    <row r="11" spans="2:24" x14ac:dyDescent="0.35">
      <c r="B11" s="13" t="s">
        <v>92</v>
      </c>
      <c r="C11" s="25">
        <v>6283.38</v>
      </c>
      <c r="D11" s="20">
        <v>0.32529999999999998</v>
      </c>
      <c r="E11" s="110">
        <v>6409.05</v>
      </c>
      <c r="F11" s="25"/>
      <c r="G11" s="74"/>
      <c r="I11" s="19"/>
      <c r="J11" s="14"/>
      <c r="M11" s="14"/>
      <c r="S11" s="19"/>
      <c r="T11" s="19"/>
      <c r="U11" s="19"/>
      <c r="V11" s="19"/>
      <c r="W11" s="19"/>
      <c r="X11" s="19"/>
    </row>
    <row r="12" spans="2:24" x14ac:dyDescent="0.35">
      <c r="B12" s="13" t="s">
        <v>93</v>
      </c>
      <c r="C12" s="25">
        <v>7050.89</v>
      </c>
      <c r="D12" s="20">
        <v>0.32529999999999998</v>
      </c>
      <c r="E12" s="110">
        <v>7191.91</v>
      </c>
      <c r="F12" s="25"/>
      <c r="G12" s="74"/>
      <c r="I12" s="19"/>
      <c r="J12" s="14"/>
      <c r="M12" s="14"/>
      <c r="S12" s="19"/>
      <c r="T12" s="19"/>
      <c r="U12" s="19"/>
      <c r="V12" s="19"/>
      <c r="W12" s="19"/>
      <c r="X12" s="19"/>
    </row>
    <row r="13" spans="2:24" x14ac:dyDescent="0.35">
      <c r="B13" s="13" t="s">
        <v>94</v>
      </c>
      <c r="C13" s="25">
        <v>7632.07</v>
      </c>
      <c r="D13" s="20">
        <v>0.32529999999999998</v>
      </c>
      <c r="E13" s="110">
        <v>7784.71</v>
      </c>
      <c r="F13" s="25"/>
      <c r="G13" s="74"/>
      <c r="I13" s="19"/>
      <c r="J13" s="14"/>
      <c r="M13" s="14"/>
      <c r="S13" s="19"/>
      <c r="T13" s="19"/>
      <c r="U13" s="19"/>
      <c r="V13" s="19"/>
      <c r="W13" s="19"/>
      <c r="X13" s="19"/>
    </row>
    <row r="14" spans="2:24" x14ac:dyDescent="0.35">
      <c r="B14" s="13" t="s">
        <v>95</v>
      </c>
      <c r="C14" s="25">
        <v>7854.52</v>
      </c>
      <c r="D14" s="20">
        <v>0.32529999999999998</v>
      </c>
      <c r="E14" s="110">
        <v>8011.61</v>
      </c>
      <c r="F14" s="25"/>
      <c r="G14" s="74"/>
      <c r="I14" s="19"/>
      <c r="J14" s="14"/>
      <c r="M14" s="14"/>
      <c r="S14" s="19"/>
      <c r="T14" s="19"/>
      <c r="U14" s="19"/>
      <c r="V14" s="19"/>
      <c r="W14" s="19"/>
      <c r="X14" s="19"/>
    </row>
    <row r="15" spans="2:24" x14ac:dyDescent="0.35">
      <c r="B15" s="13" t="s">
        <v>96</v>
      </c>
      <c r="C15" s="25">
        <v>5143.59</v>
      </c>
      <c r="D15" s="20">
        <v>0.32529999999999998</v>
      </c>
      <c r="E15" s="110">
        <v>5246.46</v>
      </c>
      <c r="F15" s="25"/>
      <c r="G15" s="74"/>
      <c r="I15" s="19"/>
      <c r="J15" s="14"/>
      <c r="M15" s="14"/>
      <c r="S15" s="19"/>
      <c r="T15" s="19"/>
      <c r="U15" s="19"/>
      <c r="V15" s="19"/>
      <c r="W15" s="19"/>
      <c r="X15" s="19"/>
    </row>
    <row r="16" spans="2:24" x14ac:dyDescent="0.35">
      <c r="B16" s="13" t="s">
        <v>97</v>
      </c>
      <c r="C16" s="25">
        <v>5515.9</v>
      </c>
      <c r="D16" s="20">
        <v>0.32529999999999998</v>
      </c>
      <c r="E16" s="110">
        <v>5626.22</v>
      </c>
      <c r="F16" s="25"/>
      <c r="G16" s="74"/>
      <c r="I16" s="19"/>
      <c r="S16" s="19"/>
      <c r="T16" s="19"/>
      <c r="U16" s="19"/>
      <c r="V16" s="19"/>
      <c r="W16" s="19"/>
      <c r="X16" s="19"/>
    </row>
    <row r="17" spans="2:24" x14ac:dyDescent="0.35">
      <c r="B17" s="13" t="s">
        <v>98</v>
      </c>
      <c r="C17" s="25">
        <v>5821.41</v>
      </c>
      <c r="D17" s="20">
        <v>0.32529999999999998</v>
      </c>
      <c r="E17" s="110">
        <v>5937.84</v>
      </c>
      <c r="F17" s="25"/>
      <c r="G17" s="74"/>
      <c r="I17" s="19"/>
      <c r="S17" s="19"/>
      <c r="T17" s="19"/>
      <c r="U17" s="19"/>
      <c r="V17" s="19"/>
      <c r="W17" s="19"/>
      <c r="X17" s="19"/>
    </row>
    <row r="18" spans="2:24" x14ac:dyDescent="0.35">
      <c r="B18" s="13" t="s">
        <v>99</v>
      </c>
      <c r="C18" s="25">
        <v>6283.38</v>
      </c>
      <c r="D18" s="20">
        <v>0.32529999999999998</v>
      </c>
      <c r="E18" s="110">
        <v>6409.05</v>
      </c>
      <c r="F18" s="25"/>
      <c r="G18" s="74"/>
      <c r="I18" s="19"/>
      <c r="S18" s="19"/>
      <c r="T18" s="19"/>
      <c r="U18" s="19"/>
      <c r="V18" s="19"/>
      <c r="W18" s="19"/>
      <c r="X18" s="19"/>
    </row>
    <row r="19" spans="2:24" x14ac:dyDescent="0.35">
      <c r="B19" s="13" t="s">
        <v>100</v>
      </c>
      <c r="C19" s="25">
        <v>6991.23</v>
      </c>
      <c r="D19" s="20">
        <v>0.32529999999999998</v>
      </c>
      <c r="E19" s="110">
        <v>7131.05</v>
      </c>
      <c r="F19" s="25"/>
      <c r="G19" s="74"/>
      <c r="I19" s="19"/>
      <c r="S19" s="19"/>
      <c r="T19" s="19"/>
      <c r="U19" s="19"/>
      <c r="V19" s="19"/>
      <c r="W19" s="19"/>
      <c r="X19" s="19"/>
    </row>
    <row r="20" spans="2:24" x14ac:dyDescent="0.35">
      <c r="B20" s="13" t="s">
        <v>101</v>
      </c>
      <c r="C20" s="25">
        <v>7194.48</v>
      </c>
      <c r="D20" s="20">
        <v>0.32529999999999998</v>
      </c>
      <c r="E20" s="110">
        <v>7338.37</v>
      </c>
      <c r="F20" s="25"/>
      <c r="G20" s="74"/>
      <c r="I20" s="19"/>
      <c r="S20" s="19"/>
      <c r="T20" s="19"/>
      <c r="U20" s="19"/>
      <c r="V20" s="19"/>
      <c r="W20" s="19"/>
      <c r="X20" s="19"/>
    </row>
    <row r="21" spans="2:24" x14ac:dyDescent="0.35">
      <c r="B21" s="9" t="s">
        <v>102</v>
      </c>
      <c r="C21" s="25">
        <v>5106.09</v>
      </c>
      <c r="D21" s="20">
        <v>0.4647</v>
      </c>
      <c r="E21" s="110">
        <v>5208.21</v>
      </c>
      <c r="F21" s="25"/>
      <c r="G21" s="74"/>
      <c r="I21" s="19"/>
      <c r="M21" s="15"/>
      <c r="S21" s="19"/>
      <c r="T21" s="19"/>
      <c r="U21" s="19"/>
      <c r="V21" s="19"/>
      <c r="W21" s="19"/>
      <c r="X21" s="19"/>
    </row>
    <row r="22" spans="2:24" x14ac:dyDescent="0.35">
      <c r="B22" s="9" t="s">
        <v>103</v>
      </c>
      <c r="C22" s="25">
        <v>5366.89</v>
      </c>
      <c r="D22" s="20">
        <v>0.4647</v>
      </c>
      <c r="E22" s="110">
        <v>5474.23</v>
      </c>
      <c r="F22" s="25"/>
      <c r="G22" s="74"/>
      <c r="I22" s="19"/>
      <c r="S22" s="19"/>
      <c r="T22" s="19"/>
      <c r="U22" s="19"/>
      <c r="V22" s="19"/>
      <c r="W22" s="19"/>
      <c r="X22" s="19"/>
    </row>
    <row r="23" spans="2:24" x14ac:dyDescent="0.35">
      <c r="B23" s="9" t="s">
        <v>104</v>
      </c>
      <c r="C23" s="25">
        <v>6283.38</v>
      </c>
      <c r="D23" s="20">
        <v>0.4647</v>
      </c>
      <c r="E23" s="110">
        <v>6409.05</v>
      </c>
      <c r="F23" s="25"/>
      <c r="G23" s="74"/>
      <c r="I23" s="19"/>
      <c r="S23" s="19"/>
      <c r="T23" s="19"/>
      <c r="U23" s="19"/>
      <c r="V23" s="19"/>
      <c r="W23" s="19"/>
      <c r="X23" s="19"/>
    </row>
    <row r="24" spans="2:24" x14ac:dyDescent="0.35">
      <c r="B24" s="9" t="s">
        <v>105</v>
      </c>
      <c r="C24" s="25">
        <v>6991.23</v>
      </c>
      <c r="D24" s="20">
        <v>0.4647</v>
      </c>
      <c r="E24" s="110">
        <v>7131.05</v>
      </c>
      <c r="F24" s="25"/>
      <c r="G24" s="74"/>
      <c r="I24" s="19"/>
      <c r="K24" s="24"/>
      <c r="M24" s="15"/>
      <c r="S24" s="19"/>
      <c r="T24" s="19"/>
      <c r="U24" s="19"/>
      <c r="V24" s="19"/>
      <c r="W24" s="19"/>
      <c r="X24" s="19"/>
    </row>
    <row r="25" spans="2:24" x14ac:dyDescent="0.35">
      <c r="B25" s="9" t="s">
        <v>106</v>
      </c>
      <c r="C25" s="25">
        <v>7194.48</v>
      </c>
      <c r="D25" s="20">
        <v>0.4647</v>
      </c>
      <c r="E25" s="110">
        <v>7338.37</v>
      </c>
      <c r="F25" s="25"/>
      <c r="G25" s="74"/>
      <c r="I25" s="19"/>
      <c r="S25" s="19"/>
      <c r="T25" s="19"/>
      <c r="U25" s="19"/>
      <c r="V25" s="19"/>
      <c r="W25" s="19"/>
      <c r="X25" s="19"/>
    </row>
    <row r="26" spans="2:24" x14ac:dyDescent="0.35">
      <c r="B26" s="13" t="s">
        <v>107</v>
      </c>
      <c r="C26" s="25">
        <v>4759.37</v>
      </c>
      <c r="D26" s="20">
        <v>0.4647</v>
      </c>
      <c r="E26" s="110">
        <v>4854.5600000000004</v>
      </c>
      <c r="F26" s="25"/>
      <c r="G26" s="74"/>
      <c r="I26" s="19"/>
      <c r="K26" s="15"/>
      <c r="L26" s="15"/>
      <c r="S26" s="19"/>
      <c r="T26" s="19"/>
      <c r="U26" s="19"/>
      <c r="V26" s="19"/>
      <c r="W26" s="19"/>
      <c r="X26" s="19"/>
    </row>
    <row r="27" spans="2:24" x14ac:dyDescent="0.35">
      <c r="B27" s="13" t="s">
        <v>108</v>
      </c>
      <c r="C27" s="25">
        <v>5106.09</v>
      </c>
      <c r="D27" s="20">
        <v>0.4647</v>
      </c>
      <c r="E27" s="110">
        <v>5208.21</v>
      </c>
      <c r="F27" s="25"/>
      <c r="G27" s="74"/>
      <c r="I27" s="19"/>
      <c r="S27" s="19"/>
      <c r="T27" s="19"/>
      <c r="U27" s="19"/>
      <c r="V27" s="19"/>
      <c r="W27" s="19"/>
      <c r="X27" s="19"/>
    </row>
    <row r="28" spans="2:24" x14ac:dyDescent="0.35">
      <c r="B28" s="13" t="s">
        <v>109</v>
      </c>
      <c r="C28" s="25">
        <v>5366.89</v>
      </c>
      <c r="D28" s="20">
        <v>0.4647</v>
      </c>
      <c r="E28" s="110">
        <v>5474.23</v>
      </c>
      <c r="F28" s="25"/>
      <c r="G28" s="74"/>
      <c r="I28" s="19"/>
      <c r="S28" s="19"/>
      <c r="T28" s="19"/>
      <c r="U28" s="19"/>
      <c r="V28" s="19"/>
      <c r="W28" s="19"/>
      <c r="X28" s="19"/>
    </row>
    <row r="29" spans="2:24" x14ac:dyDescent="0.35">
      <c r="B29" s="13" t="s">
        <v>110</v>
      </c>
      <c r="C29" s="25">
        <v>5873.56</v>
      </c>
      <c r="D29" s="20">
        <v>0.4647</v>
      </c>
      <c r="E29" s="110">
        <v>5991.03</v>
      </c>
      <c r="F29" s="25"/>
      <c r="G29" s="74"/>
      <c r="I29" s="19"/>
    </row>
    <row r="30" spans="2:24" x14ac:dyDescent="0.35">
      <c r="B30" s="13" t="s">
        <v>111</v>
      </c>
      <c r="C30" s="25">
        <v>6573.97</v>
      </c>
      <c r="D30" s="20">
        <v>0.4647</v>
      </c>
      <c r="E30" s="110">
        <v>6705.45</v>
      </c>
      <c r="F30" s="25"/>
      <c r="G30" s="74"/>
      <c r="I30" s="19"/>
    </row>
    <row r="31" spans="2:24" x14ac:dyDescent="0.35">
      <c r="B31" s="13" t="s">
        <v>112</v>
      </c>
      <c r="C31" s="25">
        <v>6764.69</v>
      </c>
      <c r="D31" s="20">
        <v>0.4647</v>
      </c>
      <c r="E31" s="110">
        <v>6899.98</v>
      </c>
      <c r="F31" s="25"/>
      <c r="G31" s="74"/>
      <c r="I31" s="19"/>
      <c r="L31" s="19"/>
    </row>
    <row r="32" spans="2:24" x14ac:dyDescent="0.35">
      <c r="B32" s="13" t="s">
        <v>113</v>
      </c>
      <c r="C32" s="25">
        <v>4310.8999999999996</v>
      </c>
      <c r="D32" s="20">
        <v>0.4647</v>
      </c>
      <c r="E32" s="110">
        <v>4397.12</v>
      </c>
      <c r="F32" s="25"/>
      <c r="G32" s="74"/>
      <c r="I32" s="19"/>
      <c r="L32" s="19"/>
    </row>
    <row r="33" spans="2:12" x14ac:dyDescent="0.35">
      <c r="B33" s="13" t="s">
        <v>114</v>
      </c>
      <c r="C33" s="25">
        <v>4599.41</v>
      </c>
      <c r="D33" s="20">
        <v>0.4647</v>
      </c>
      <c r="E33" s="110">
        <v>4691.3999999999996</v>
      </c>
      <c r="F33" s="25"/>
      <c r="G33" s="74"/>
      <c r="I33" s="19"/>
      <c r="L33" s="19"/>
    </row>
    <row r="34" spans="2:12" x14ac:dyDescent="0.35">
      <c r="B34" s="13" t="s">
        <v>115</v>
      </c>
      <c r="C34" s="25">
        <v>5210.41</v>
      </c>
      <c r="D34" s="20">
        <v>0.4647</v>
      </c>
      <c r="E34" s="110">
        <v>5314.62</v>
      </c>
      <c r="F34" s="25"/>
      <c r="G34" s="74"/>
      <c r="I34" s="19"/>
      <c r="L34" s="19"/>
    </row>
    <row r="35" spans="2:12" x14ac:dyDescent="0.35">
      <c r="B35" s="13" t="s">
        <v>116</v>
      </c>
      <c r="C35" s="25">
        <v>5746.9</v>
      </c>
      <c r="D35" s="20">
        <v>0.4647</v>
      </c>
      <c r="E35" s="110">
        <v>5861.84</v>
      </c>
      <c r="F35" s="25"/>
      <c r="G35" s="74"/>
      <c r="I35" s="19"/>
      <c r="L35" s="19"/>
    </row>
    <row r="36" spans="2:12" x14ac:dyDescent="0.35">
      <c r="B36" s="13" t="s">
        <v>117</v>
      </c>
      <c r="C36" s="25">
        <v>6439.85</v>
      </c>
      <c r="D36" s="20">
        <v>0.4647</v>
      </c>
      <c r="E36" s="110">
        <v>6568.65</v>
      </c>
      <c r="F36" s="25"/>
      <c r="G36" s="74"/>
      <c r="I36" s="19"/>
      <c r="L36" s="19"/>
    </row>
    <row r="37" spans="2:12" x14ac:dyDescent="0.35">
      <c r="B37" s="13" t="s">
        <v>118</v>
      </c>
      <c r="C37" s="25">
        <v>6626.54</v>
      </c>
      <c r="D37" s="20">
        <v>0.4647</v>
      </c>
      <c r="E37" s="110">
        <v>6759.07</v>
      </c>
      <c r="F37" s="25"/>
      <c r="G37" s="74"/>
      <c r="I37" s="19"/>
      <c r="L37" s="19"/>
    </row>
    <row r="38" spans="2:12" x14ac:dyDescent="0.35">
      <c r="B38" s="13" t="s">
        <v>119</v>
      </c>
      <c r="C38" s="25">
        <v>4178.3500000000004</v>
      </c>
      <c r="D38" s="20">
        <v>0.74350000000000005</v>
      </c>
      <c r="E38" s="110">
        <v>4261.92</v>
      </c>
      <c r="F38" s="25"/>
      <c r="G38" s="74"/>
      <c r="I38" s="19"/>
      <c r="L38" s="19"/>
    </row>
    <row r="39" spans="2:12" x14ac:dyDescent="0.35">
      <c r="B39" s="13" t="s">
        <v>120</v>
      </c>
      <c r="C39" s="25">
        <v>4444.8599999999997</v>
      </c>
      <c r="D39" s="20">
        <v>0.74350000000000005</v>
      </c>
      <c r="E39" s="110">
        <v>4533.76</v>
      </c>
      <c r="F39" s="25"/>
      <c r="G39" s="74"/>
      <c r="I39" s="19"/>
      <c r="L39" s="19"/>
    </row>
    <row r="40" spans="2:12" x14ac:dyDescent="0.35">
      <c r="B40" s="13" t="s">
        <v>121</v>
      </c>
      <c r="C40" s="25">
        <v>4748.43</v>
      </c>
      <c r="D40" s="20">
        <v>0.74350000000000005</v>
      </c>
      <c r="E40" s="110">
        <v>4843.3999999999996</v>
      </c>
      <c r="F40" s="25"/>
      <c r="G40" s="74"/>
      <c r="I40" s="19"/>
      <c r="L40" s="19"/>
    </row>
    <row r="41" spans="2:12" x14ac:dyDescent="0.35">
      <c r="B41" s="13" t="s">
        <v>122</v>
      </c>
      <c r="C41" s="25">
        <v>5210.41</v>
      </c>
      <c r="D41" s="20">
        <v>0.74350000000000005</v>
      </c>
      <c r="E41" s="110">
        <v>5314.62</v>
      </c>
      <c r="F41" s="25"/>
      <c r="G41" s="74"/>
      <c r="I41" s="19"/>
      <c r="L41" s="19"/>
    </row>
    <row r="42" spans="2:12" x14ac:dyDescent="0.35">
      <c r="B42" s="13" t="s">
        <v>123</v>
      </c>
      <c r="C42" s="25">
        <v>5881.02</v>
      </c>
      <c r="D42" s="20">
        <v>0.74350000000000005</v>
      </c>
      <c r="E42" s="110">
        <v>5998.64</v>
      </c>
      <c r="F42" s="25"/>
      <c r="G42" s="74"/>
      <c r="I42" s="19"/>
      <c r="L42" s="19"/>
    </row>
    <row r="43" spans="2:12" x14ac:dyDescent="0.35">
      <c r="B43" s="13" t="s">
        <v>124</v>
      </c>
      <c r="C43" s="25">
        <v>6050.95</v>
      </c>
      <c r="D43" s="20">
        <v>0.74350000000000005</v>
      </c>
      <c r="E43" s="110">
        <v>6171.97</v>
      </c>
      <c r="F43" s="25"/>
      <c r="G43" s="74"/>
      <c r="I43" s="19"/>
      <c r="L43" s="19"/>
    </row>
    <row r="44" spans="2:12" x14ac:dyDescent="0.35">
      <c r="B44" s="13" t="s">
        <v>125</v>
      </c>
      <c r="C44" s="25">
        <v>4038.42</v>
      </c>
      <c r="D44" s="20">
        <v>0.74350000000000005</v>
      </c>
      <c r="E44" s="110">
        <v>4119.1899999999996</v>
      </c>
      <c r="F44" s="25"/>
      <c r="G44" s="74"/>
      <c r="I44" s="19"/>
      <c r="L44" s="19"/>
    </row>
    <row r="45" spans="2:12" x14ac:dyDescent="0.35">
      <c r="B45" s="13" t="s">
        <v>126</v>
      </c>
      <c r="C45" s="25">
        <v>4299.95</v>
      </c>
      <c r="D45" s="20">
        <v>0.74350000000000005</v>
      </c>
      <c r="E45" s="110">
        <v>4385.95</v>
      </c>
      <c r="F45" s="25"/>
      <c r="G45" s="74"/>
      <c r="I45" s="19"/>
      <c r="L45" s="19"/>
    </row>
    <row r="46" spans="2:12" x14ac:dyDescent="0.35">
      <c r="B46" s="13" t="s">
        <v>127</v>
      </c>
      <c r="C46" s="25">
        <v>4599.41</v>
      </c>
      <c r="D46" s="20">
        <v>0.74350000000000005</v>
      </c>
      <c r="E46" s="110">
        <v>4691.3999999999996</v>
      </c>
      <c r="F46" s="25"/>
      <c r="G46" s="74"/>
      <c r="I46" s="19"/>
      <c r="L46" s="19"/>
    </row>
    <row r="47" spans="2:12" x14ac:dyDescent="0.35">
      <c r="B47" s="13" t="s">
        <v>128</v>
      </c>
      <c r="C47" s="25">
        <v>4904.8900000000003</v>
      </c>
      <c r="D47" s="20">
        <v>0.74350000000000005</v>
      </c>
      <c r="E47" s="110">
        <v>5002.99</v>
      </c>
      <c r="F47" s="25"/>
      <c r="G47" s="74"/>
      <c r="I47" s="19"/>
      <c r="L47" s="19"/>
    </row>
    <row r="48" spans="2:12" x14ac:dyDescent="0.35">
      <c r="B48" s="13" t="s">
        <v>129</v>
      </c>
      <c r="C48" s="25">
        <v>5486.13</v>
      </c>
      <c r="D48" s="20">
        <v>0.74350000000000005</v>
      </c>
      <c r="E48" s="110">
        <v>5595.85</v>
      </c>
      <c r="F48" s="25"/>
      <c r="G48" s="74"/>
      <c r="I48" s="19"/>
      <c r="L48" s="19"/>
    </row>
    <row r="49" spans="2:12" x14ac:dyDescent="0.35">
      <c r="B49" s="13" t="s">
        <v>130</v>
      </c>
      <c r="C49" s="25">
        <v>5644.2</v>
      </c>
      <c r="D49" s="20">
        <v>0.74350000000000005</v>
      </c>
      <c r="E49" s="110">
        <v>5757.08</v>
      </c>
      <c r="F49" s="25"/>
      <c r="G49" s="74"/>
      <c r="I49" s="19"/>
      <c r="L49" s="19"/>
    </row>
    <row r="50" spans="2:12" x14ac:dyDescent="0.35">
      <c r="B50" s="9" t="s">
        <v>131</v>
      </c>
      <c r="C50" s="25">
        <v>3620.1</v>
      </c>
      <c r="D50" s="20">
        <v>0.74350000000000005</v>
      </c>
      <c r="E50" s="110">
        <v>3692.5</v>
      </c>
      <c r="F50" s="25"/>
      <c r="G50" s="74"/>
      <c r="I50" s="19"/>
      <c r="L50" s="19"/>
    </row>
    <row r="51" spans="2:12" x14ac:dyDescent="0.35">
      <c r="B51" s="9" t="s">
        <v>132</v>
      </c>
      <c r="C51" s="25">
        <v>3870.81</v>
      </c>
      <c r="D51" s="20">
        <v>0.74350000000000005</v>
      </c>
      <c r="E51" s="110">
        <v>3948.23</v>
      </c>
      <c r="F51" s="25"/>
      <c r="G51" s="74"/>
      <c r="I51" s="19"/>
      <c r="L51" s="19"/>
    </row>
    <row r="52" spans="2:12" x14ac:dyDescent="0.35">
      <c r="B52" s="9" t="s">
        <v>133</v>
      </c>
      <c r="C52" s="25">
        <v>4035.07</v>
      </c>
      <c r="D52" s="20">
        <v>0.74350000000000005</v>
      </c>
      <c r="E52" s="110">
        <v>4115.7700000000004</v>
      </c>
      <c r="F52" s="25"/>
      <c r="G52" s="74"/>
      <c r="I52" s="19"/>
      <c r="L52" s="19"/>
    </row>
    <row r="53" spans="2:12" x14ac:dyDescent="0.35">
      <c r="B53" s="9" t="s">
        <v>134</v>
      </c>
      <c r="C53" s="25">
        <v>4488.99</v>
      </c>
      <c r="D53" s="20">
        <v>0.74350000000000005</v>
      </c>
      <c r="E53" s="110">
        <v>4578.7700000000004</v>
      </c>
      <c r="F53" s="25"/>
      <c r="G53" s="74"/>
      <c r="I53" s="19"/>
      <c r="L53" s="19"/>
    </row>
    <row r="54" spans="2:12" x14ac:dyDescent="0.35">
      <c r="B54" s="9" t="s">
        <v>135</v>
      </c>
      <c r="C54" s="25">
        <v>4875.1000000000004</v>
      </c>
      <c r="D54" s="20">
        <v>0.74350000000000005</v>
      </c>
      <c r="E54" s="110">
        <v>4972.6000000000004</v>
      </c>
      <c r="F54" s="25"/>
      <c r="G54" s="74"/>
      <c r="I54" s="19"/>
      <c r="L54" s="19"/>
    </row>
    <row r="55" spans="2:12" x14ac:dyDescent="0.35">
      <c r="B55" s="9" t="s">
        <v>136</v>
      </c>
      <c r="C55" s="25">
        <v>5014.87</v>
      </c>
      <c r="D55" s="20">
        <v>0.74350000000000005</v>
      </c>
      <c r="E55" s="110">
        <v>5115.17</v>
      </c>
      <c r="F55" s="25"/>
      <c r="G55" s="74"/>
      <c r="I55" s="19"/>
      <c r="L55" s="19"/>
    </row>
    <row r="56" spans="2:12" x14ac:dyDescent="0.35">
      <c r="B56" s="13" t="s">
        <v>137</v>
      </c>
      <c r="C56" s="25">
        <v>3620.1</v>
      </c>
      <c r="D56" s="20">
        <v>0.74350000000000005</v>
      </c>
      <c r="E56" s="110">
        <v>3692.5</v>
      </c>
      <c r="F56" s="25"/>
      <c r="G56" s="74"/>
      <c r="I56" s="19"/>
      <c r="L56" s="19"/>
    </row>
    <row r="57" spans="2:12" x14ac:dyDescent="0.35">
      <c r="B57" s="13" t="s">
        <v>138</v>
      </c>
      <c r="C57" s="25">
        <v>3870.81</v>
      </c>
      <c r="D57" s="20">
        <v>0.74350000000000005</v>
      </c>
      <c r="E57" s="110">
        <v>3948.23</v>
      </c>
      <c r="F57" s="25"/>
      <c r="G57" s="74"/>
      <c r="I57" s="19"/>
      <c r="L57" s="19"/>
    </row>
    <row r="58" spans="2:12" x14ac:dyDescent="0.35">
      <c r="B58" s="13" t="s">
        <v>139</v>
      </c>
      <c r="C58" s="25">
        <v>3925.58</v>
      </c>
      <c r="D58" s="20">
        <v>0.74350000000000005</v>
      </c>
      <c r="E58" s="110">
        <v>4004.09</v>
      </c>
      <c r="F58" s="25"/>
      <c r="G58" s="74"/>
      <c r="I58" s="19"/>
      <c r="L58" s="19"/>
    </row>
    <row r="59" spans="2:12" x14ac:dyDescent="0.35">
      <c r="B59" s="13" t="s">
        <v>140</v>
      </c>
      <c r="C59" s="25">
        <v>4035.07</v>
      </c>
      <c r="D59" s="20">
        <v>0.74350000000000005</v>
      </c>
      <c r="E59" s="110">
        <v>4115.7700000000004</v>
      </c>
      <c r="F59" s="25"/>
      <c r="G59" s="74"/>
      <c r="I59" s="19"/>
      <c r="L59" s="19"/>
    </row>
    <row r="60" spans="2:12" x14ac:dyDescent="0.35">
      <c r="B60" s="13" t="s">
        <v>141</v>
      </c>
      <c r="C60" s="25">
        <v>4488.99</v>
      </c>
      <c r="D60" s="20">
        <v>0.74350000000000005</v>
      </c>
      <c r="E60" s="110">
        <v>4578.7700000000004</v>
      </c>
      <c r="F60" s="25"/>
      <c r="G60" s="74"/>
      <c r="I60" s="19"/>
      <c r="L60" s="19"/>
    </row>
    <row r="61" spans="2:12" x14ac:dyDescent="0.35">
      <c r="B61" s="13" t="s">
        <v>142</v>
      </c>
      <c r="C61" s="25">
        <v>4615.76</v>
      </c>
      <c r="D61" s="20">
        <v>0.74350000000000005</v>
      </c>
      <c r="E61" s="110">
        <v>4708.08</v>
      </c>
      <c r="F61" s="25"/>
      <c r="G61" s="74"/>
      <c r="I61" s="19"/>
      <c r="L61" s="19"/>
    </row>
    <row r="62" spans="2:12" x14ac:dyDescent="0.35">
      <c r="B62" s="13" t="s">
        <v>143</v>
      </c>
      <c r="C62" s="25">
        <v>3419.52</v>
      </c>
      <c r="D62" s="20">
        <v>0.88139999999999996</v>
      </c>
      <c r="E62" s="110">
        <v>3487.91</v>
      </c>
      <c r="F62" s="25"/>
      <c r="G62" s="74"/>
      <c r="I62" s="19"/>
      <c r="L62" s="19"/>
    </row>
    <row r="63" spans="2:12" x14ac:dyDescent="0.35">
      <c r="B63" s="13" t="s">
        <v>144</v>
      </c>
      <c r="C63" s="25">
        <v>3659.02</v>
      </c>
      <c r="D63" s="20">
        <v>0.88139999999999996</v>
      </c>
      <c r="E63" s="110">
        <v>3732.2</v>
      </c>
      <c r="F63" s="25"/>
      <c r="G63" s="74"/>
      <c r="I63" s="19"/>
      <c r="L63" s="19"/>
    </row>
    <row r="64" spans="2:12" x14ac:dyDescent="0.35">
      <c r="B64" s="13" t="s">
        <v>145</v>
      </c>
      <c r="C64" s="25">
        <v>3795.52</v>
      </c>
      <c r="D64" s="20">
        <v>0.88139999999999996</v>
      </c>
      <c r="E64" s="110">
        <v>3871.43</v>
      </c>
      <c r="F64" s="25"/>
      <c r="G64" s="74"/>
      <c r="I64" s="19"/>
      <c r="L64" s="19"/>
    </row>
    <row r="65" spans="2:12" x14ac:dyDescent="0.35">
      <c r="B65" s="13" t="s">
        <v>146</v>
      </c>
      <c r="C65" s="25">
        <v>3925.58</v>
      </c>
      <c r="D65" s="20">
        <v>0.88139999999999996</v>
      </c>
      <c r="E65" s="110">
        <v>4004.09</v>
      </c>
      <c r="F65" s="25"/>
      <c r="G65" s="74"/>
      <c r="I65" s="19"/>
      <c r="L65" s="19"/>
    </row>
    <row r="66" spans="2:12" x14ac:dyDescent="0.35">
      <c r="B66" s="13" t="s">
        <v>147</v>
      </c>
      <c r="C66" s="25">
        <v>4069.31</v>
      </c>
      <c r="D66" s="20">
        <v>0.88139999999999996</v>
      </c>
      <c r="E66" s="110">
        <v>4150.7</v>
      </c>
      <c r="F66" s="25"/>
      <c r="G66" s="74"/>
      <c r="I66" s="19"/>
      <c r="L66" s="19"/>
    </row>
    <row r="67" spans="2:12" x14ac:dyDescent="0.35">
      <c r="B67" s="13" t="s">
        <v>148</v>
      </c>
      <c r="C67" s="25">
        <v>4158.2700000000004</v>
      </c>
      <c r="D67" s="20">
        <v>0.88139999999999996</v>
      </c>
      <c r="E67" s="110">
        <v>4241.4399999999996</v>
      </c>
      <c r="F67" s="25"/>
      <c r="G67" s="74"/>
      <c r="I67" s="19"/>
      <c r="L67" s="19"/>
    </row>
    <row r="68" spans="2:12" x14ac:dyDescent="0.35">
      <c r="B68" s="13" t="s">
        <v>149</v>
      </c>
      <c r="C68" s="25">
        <v>3235.83</v>
      </c>
      <c r="D68" s="20">
        <v>0.88139999999999996</v>
      </c>
      <c r="E68" s="110">
        <v>3300.55</v>
      </c>
      <c r="F68" s="25"/>
      <c r="G68" s="74"/>
      <c r="I68" s="19"/>
      <c r="L68" s="19"/>
    </row>
    <row r="69" spans="2:12" x14ac:dyDescent="0.35">
      <c r="B69" s="13" t="s">
        <v>150</v>
      </c>
      <c r="C69" s="25">
        <v>3469.72</v>
      </c>
      <c r="D69" s="20">
        <v>0.88139999999999996</v>
      </c>
      <c r="E69" s="110">
        <v>3539.11</v>
      </c>
      <c r="F69" s="25"/>
      <c r="G69" s="74"/>
      <c r="I69" s="19"/>
      <c r="L69" s="19"/>
    </row>
    <row r="70" spans="2:12" x14ac:dyDescent="0.35">
      <c r="B70" s="13" t="s">
        <v>151</v>
      </c>
      <c r="C70" s="25">
        <v>3645.69</v>
      </c>
      <c r="D70" s="20">
        <v>0.88139999999999996</v>
      </c>
      <c r="E70" s="110">
        <v>3718.6</v>
      </c>
      <c r="F70" s="25"/>
      <c r="G70" s="74"/>
      <c r="I70" s="19"/>
      <c r="L70" s="19"/>
    </row>
    <row r="71" spans="2:12" x14ac:dyDescent="0.35">
      <c r="B71" s="13" t="s">
        <v>152</v>
      </c>
      <c r="C71" s="25">
        <v>3781.85</v>
      </c>
      <c r="D71" s="20">
        <v>0.88139999999999996</v>
      </c>
      <c r="E71" s="110">
        <v>3857.49</v>
      </c>
      <c r="F71" s="25"/>
      <c r="G71" s="74"/>
      <c r="I71" s="19"/>
      <c r="L71" s="19"/>
    </row>
    <row r="72" spans="2:12" x14ac:dyDescent="0.35">
      <c r="B72" s="13" t="s">
        <v>153</v>
      </c>
      <c r="C72" s="25">
        <v>3891.36</v>
      </c>
      <c r="D72" s="20">
        <v>0.88139999999999996</v>
      </c>
      <c r="E72" s="110">
        <v>3969.19</v>
      </c>
      <c r="F72" s="25"/>
      <c r="G72" s="74"/>
      <c r="I72" s="19"/>
      <c r="L72" s="19"/>
    </row>
    <row r="73" spans="2:12" x14ac:dyDescent="0.35">
      <c r="B73" s="13" t="s">
        <v>154</v>
      </c>
      <c r="C73" s="25">
        <v>3987.16</v>
      </c>
      <c r="D73" s="20">
        <v>0.88139999999999996</v>
      </c>
      <c r="E73" s="110">
        <v>4066.9</v>
      </c>
      <c r="F73" s="25"/>
      <c r="G73" s="74"/>
      <c r="I73" s="19"/>
      <c r="L73" s="19"/>
    </row>
    <row r="74" spans="2:12" x14ac:dyDescent="0.35">
      <c r="B74" s="13" t="s">
        <v>155</v>
      </c>
      <c r="C74" s="25">
        <v>3186.57</v>
      </c>
      <c r="D74" s="20">
        <v>0.88139999999999996</v>
      </c>
      <c r="E74" s="110">
        <v>3250.3</v>
      </c>
      <c r="F74" s="25"/>
      <c r="G74" s="74"/>
      <c r="I74" s="19"/>
      <c r="L74" s="19"/>
    </row>
    <row r="75" spans="2:12" x14ac:dyDescent="0.35">
      <c r="B75" s="13" t="s">
        <v>156</v>
      </c>
      <c r="C75" s="25">
        <v>3418.08</v>
      </c>
      <c r="D75" s="20">
        <v>0.88139999999999996</v>
      </c>
      <c r="E75" s="110">
        <v>3486.44</v>
      </c>
      <c r="F75" s="25"/>
      <c r="G75" s="74"/>
      <c r="I75" s="19"/>
      <c r="L75" s="19"/>
    </row>
    <row r="76" spans="2:12" x14ac:dyDescent="0.35">
      <c r="B76" s="13" t="s">
        <v>157</v>
      </c>
      <c r="C76" s="25">
        <v>3547.2</v>
      </c>
      <c r="D76" s="20">
        <v>0.88139999999999996</v>
      </c>
      <c r="E76" s="110">
        <v>3618.14</v>
      </c>
      <c r="F76" s="25"/>
      <c r="G76" s="74"/>
      <c r="I76" s="19"/>
      <c r="L76" s="19"/>
    </row>
    <row r="77" spans="2:12" x14ac:dyDescent="0.35">
      <c r="B77" s="13" t="s">
        <v>158</v>
      </c>
      <c r="C77" s="25">
        <v>3679.2</v>
      </c>
      <c r="D77" s="20">
        <v>0.88139999999999996</v>
      </c>
      <c r="E77" s="110">
        <v>3752.78</v>
      </c>
      <c r="F77" s="25"/>
      <c r="G77" s="74"/>
      <c r="I77" s="19"/>
      <c r="L77" s="19"/>
    </row>
    <row r="78" spans="2:12" x14ac:dyDescent="0.35">
      <c r="B78" s="13" t="s">
        <v>159</v>
      </c>
      <c r="C78" s="25">
        <v>3768.15</v>
      </c>
      <c r="D78" s="20">
        <v>0.88139999999999996</v>
      </c>
      <c r="E78" s="110">
        <v>3843.51</v>
      </c>
      <c r="F78" s="25"/>
      <c r="G78" s="74"/>
      <c r="I78" s="19"/>
      <c r="L78" s="19"/>
    </row>
    <row r="79" spans="2:12" x14ac:dyDescent="0.35">
      <c r="B79" s="13" t="s">
        <v>160</v>
      </c>
      <c r="C79" s="25">
        <v>3863.96</v>
      </c>
      <c r="D79" s="20">
        <v>0.88139999999999996</v>
      </c>
      <c r="E79" s="110">
        <v>3941.24</v>
      </c>
      <c r="F79" s="25"/>
      <c r="G79" s="74"/>
      <c r="I79" s="19"/>
      <c r="L79" s="19"/>
    </row>
    <row r="80" spans="2:12" x14ac:dyDescent="0.35">
      <c r="B80" s="13" t="s">
        <v>161</v>
      </c>
      <c r="C80" s="25">
        <v>3073.97</v>
      </c>
      <c r="D80" s="20">
        <v>0.88139999999999996</v>
      </c>
      <c r="E80" s="110">
        <v>3135.45</v>
      </c>
      <c r="F80" s="25"/>
      <c r="G80" s="74"/>
      <c r="I80" s="19"/>
      <c r="L80" s="19"/>
    </row>
    <row r="81" spans="2:12" x14ac:dyDescent="0.35">
      <c r="B81" s="13" t="s">
        <v>162</v>
      </c>
      <c r="C81" s="25">
        <v>3301.87</v>
      </c>
      <c r="D81" s="20">
        <v>0.88139999999999996</v>
      </c>
      <c r="E81" s="110">
        <v>3367.91</v>
      </c>
      <c r="F81" s="25"/>
      <c r="G81" s="74"/>
      <c r="I81" s="19"/>
      <c r="L81" s="19"/>
    </row>
    <row r="82" spans="2:12" x14ac:dyDescent="0.35">
      <c r="B82" s="13" t="s">
        <v>163</v>
      </c>
      <c r="C82" s="25">
        <v>3430.99</v>
      </c>
      <c r="D82" s="20">
        <v>0.88139999999999996</v>
      </c>
      <c r="E82" s="110">
        <v>3499.61</v>
      </c>
      <c r="F82" s="25"/>
      <c r="G82" s="74"/>
      <c r="I82" s="19"/>
      <c r="L82" s="19"/>
    </row>
    <row r="83" spans="2:12" x14ac:dyDescent="0.35">
      <c r="B83" s="13" t="s">
        <v>164</v>
      </c>
      <c r="C83" s="25">
        <v>3553.66</v>
      </c>
      <c r="D83" s="20">
        <v>0.88139999999999996</v>
      </c>
      <c r="E83" s="110">
        <v>3624.73</v>
      </c>
      <c r="F83" s="25"/>
      <c r="G83" s="74"/>
      <c r="I83" s="19"/>
      <c r="L83" s="19"/>
    </row>
    <row r="84" spans="2:12" x14ac:dyDescent="0.35">
      <c r="B84" s="13" t="s">
        <v>165</v>
      </c>
      <c r="C84" s="25">
        <v>3652.34</v>
      </c>
      <c r="D84" s="20">
        <v>0.88139999999999996</v>
      </c>
      <c r="E84" s="110">
        <v>3725.39</v>
      </c>
      <c r="F84" s="25"/>
      <c r="G84" s="74"/>
      <c r="I84" s="19"/>
      <c r="L84" s="19"/>
    </row>
    <row r="85" spans="2:12" x14ac:dyDescent="0.35">
      <c r="B85" s="13" t="s">
        <v>166</v>
      </c>
      <c r="C85" s="25">
        <v>3720.25</v>
      </c>
      <c r="D85" s="20">
        <v>0.88139999999999996</v>
      </c>
      <c r="E85" s="110">
        <v>3794.66</v>
      </c>
      <c r="F85" s="25"/>
      <c r="G85" s="74"/>
      <c r="I85" s="19"/>
      <c r="L85" s="19"/>
    </row>
    <row r="86" spans="2:12" x14ac:dyDescent="0.35">
      <c r="B86" s="13" t="s">
        <v>167</v>
      </c>
      <c r="C86" s="25">
        <v>2949.24</v>
      </c>
      <c r="D86" s="20">
        <v>0.87429999999999997</v>
      </c>
      <c r="E86" s="110">
        <v>3008.22</v>
      </c>
      <c r="F86" s="25"/>
      <c r="G86" s="74"/>
      <c r="I86" s="9"/>
    </row>
    <row r="87" spans="2:12" x14ac:dyDescent="0.35">
      <c r="B87" s="13" t="s">
        <v>168</v>
      </c>
      <c r="C87" s="25">
        <v>3179.22</v>
      </c>
      <c r="D87" s="20">
        <v>0.87429999999999997</v>
      </c>
      <c r="E87" s="110">
        <v>3242.8</v>
      </c>
      <c r="F87" s="25"/>
      <c r="G87" s="74"/>
      <c r="I87" s="19"/>
      <c r="L87" s="19"/>
    </row>
    <row r="88" spans="2:12" x14ac:dyDescent="0.35">
      <c r="B88" s="13" t="s">
        <v>169</v>
      </c>
      <c r="C88" s="25">
        <v>3340.61</v>
      </c>
      <c r="D88" s="20">
        <v>0.87429999999999997</v>
      </c>
      <c r="E88" s="110">
        <v>3407.42</v>
      </c>
      <c r="F88" s="25"/>
      <c r="G88" s="74"/>
      <c r="I88" s="19"/>
      <c r="L88" s="19"/>
    </row>
    <row r="89" spans="2:12" x14ac:dyDescent="0.35">
      <c r="B89" s="13" t="s">
        <v>170</v>
      </c>
      <c r="C89" s="25">
        <v>3430.99</v>
      </c>
      <c r="D89" s="20">
        <v>0.87429999999999997</v>
      </c>
      <c r="E89" s="110">
        <v>3499.61</v>
      </c>
      <c r="F89" s="25"/>
      <c r="G89" s="74"/>
      <c r="I89" s="19"/>
      <c r="L89" s="19"/>
    </row>
    <row r="90" spans="2:12" x14ac:dyDescent="0.35">
      <c r="B90" s="13" t="s">
        <v>171</v>
      </c>
      <c r="C90" s="25">
        <v>3521.39</v>
      </c>
      <c r="D90" s="20">
        <v>0.87429999999999997</v>
      </c>
      <c r="E90" s="110">
        <v>3591.82</v>
      </c>
      <c r="F90" s="25"/>
      <c r="G90" s="74"/>
      <c r="I90" s="19"/>
      <c r="L90" s="19"/>
    </row>
    <row r="91" spans="2:12" x14ac:dyDescent="0.35">
      <c r="B91" s="13" t="s">
        <v>172</v>
      </c>
      <c r="C91" s="25">
        <v>3579.47</v>
      </c>
      <c r="D91" s="20">
        <v>0.87429999999999997</v>
      </c>
      <c r="E91" s="110">
        <v>3651.06</v>
      </c>
      <c r="F91" s="25"/>
      <c r="G91" s="74"/>
      <c r="I91" s="19"/>
      <c r="L91" s="19"/>
    </row>
    <row r="92" spans="2:12" x14ac:dyDescent="0.35">
      <c r="B92" s="13" t="s">
        <v>173</v>
      </c>
      <c r="C92" s="25">
        <v>2915.57</v>
      </c>
      <c r="D92" s="20">
        <v>0.87429999999999997</v>
      </c>
      <c r="E92" s="110">
        <v>2973.88</v>
      </c>
      <c r="F92" s="25"/>
      <c r="G92" s="74"/>
      <c r="I92" s="19"/>
      <c r="L92" s="19"/>
    </row>
    <row r="93" spans="2:12" x14ac:dyDescent="0.35">
      <c r="B93" s="13" t="s">
        <v>174</v>
      </c>
      <c r="C93" s="25">
        <v>3140.47</v>
      </c>
      <c r="D93" s="20">
        <v>0.87429999999999997</v>
      </c>
      <c r="E93" s="110">
        <v>3203.28</v>
      </c>
      <c r="F93" s="25"/>
      <c r="G93" s="74"/>
      <c r="I93" s="19"/>
      <c r="L93" s="19"/>
    </row>
    <row r="94" spans="2:12" x14ac:dyDescent="0.35">
      <c r="B94" s="13" t="s">
        <v>175</v>
      </c>
      <c r="C94" s="25">
        <v>3205.03</v>
      </c>
      <c r="D94" s="20">
        <v>0.87429999999999997</v>
      </c>
      <c r="E94" s="110">
        <v>3269.13</v>
      </c>
      <c r="F94" s="25"/>
      <c r="G94" s="74"/>
      <c r="I94" s="19"/>
      <c r="L94" s="19"/>
    </row>
    <row r="95" spans="2:12" x14ac:dyDescent="0.35">
      <c r="B95" s="13" t="s">
        <v>176</v>
      </c>
      <c r="C95" s="25">
        <v>3308.32</v>
      </c>
      <c r="D95" s="20">
        <v>0.87429999999999997</v>
      </c>
      <c r="E95" s="110">
        <v>3374.49</v>
      </c>
      <c r="F95" s="25"/>
      <c r="G95" s="74"/>
      <c r="I95" s="19"/>
      <c r="L95" s="19"/>
    </row>
    <row r="96" spans="2:12" x14ac:dyDescent="0.35">
      <c r="B96" s="13" t="s">
        <v>177</v>
      </c>
      <c r="C96" s="25">
        <v>3392.25</v>
      </c>
      <c r="D96" s="20">
        <v>0.87429999999999997</v>
      </c>
      <c r="E96" s="110">
        <v>3460.1</v>
      </c>
      <c r="F96" s="25"/>
      <c r="G96" s="74"/>
      <c r="I96" s="19"/>
      <c r="L96" s="19"/>
    </row>
    <row r="97" spans="2:12" x14ac:dyDescent="0.35">
      <c r="B97" s="13" t="s">
        <v>178</v>
      </c>
      <c r="C97" s="25">
        <v>3463.27</v>
      </c>
      <c r="D97" s="20">
        <v>0.87429999999999997</v>
      </c>
      <c r="E97" s="110">
        <v>3532.54</v>
      </c>
      <c r="F97" s="25"/>
      <c r="G97" s="74"/>
      <c r="I97" s="19"/>
      <c r="L97" s="19"/>
    </row>
    <row r="98" spans="2:12" x14ac:dyDescent="0.35">
      <c r="B98" s="9" t="s">
        <v>179</v>
      </c>
      <c r="C98" s="25">
        <v>2811.2</v>
      </c>
      <c r="D98" s="20">
        <v>0.87429999999999997</v>
      </c>
      <c r="E98" s="110">
        <v>2867.42</v>
      </c>
      <c r="F98" s="25"/>
      <c r="G98" s="74"/>
      <c r="I98" s="19"/>
      <c r="L98" s="19"/>
    </row>
    <row r="99" spans="2:12" x14ac:dyDescent="0.35">
      <c r="B99" s="9" t="s">
        <v>180</v>
      </c>
      <c r="C99" s="25">
        <v>3030.72</v>
      </c>
      <c r="D99" s="20">
        <v>0.87429999999999997</v>
      </c>
      <c r="E99" s="110">
        <v>3091.33</v>
      </c>
      <c r="F99" s="25"/>
      <c r="G99" s="74"/>
      <c r="I99" s="19"/>
      <c r="L99" s="19"/>
    </row>
    <row r="100" spans="2:12" x14ac:dyDescent="0.35">
      <c r="B100" s="9" t="s">
        <v>181</v>
      </c>
      <c r="C100" s="25">
        <v>3114.64</v>
      </c>
      <c r="D100" s="20">
        <v>0.87429999999999997</v>
      </c>
      <c r="E100" s="110">
        <v>3176.93</v>
      </c>
      <c r="F100" s="25"/>
      <c r="G100" s="74"/>
      <c r="I100" s="19"/>
      <c r="L100" s="19"/>
    </row>
    <row r="101" spans="2:12" x14ac:dyDescent="0.35">
      <c r="B101" s="9" t="s">
        <v>182</v>
      </c>
      <c r="C101" s="25">
        <v>3217.96</v>
      </c>
      <c r="D101" s="20">
        <v>0.87429999999999997</v>
      </c>
      <c r="E101" s="110">
        <v>3282.32</v>
      </c>
      <c r="F101" s="25"/>
      <c r="G101" s="74"/>
      <c r="I101" s="19"/>
      <c r="L101" s="19"/>
    </row>
    <row r="102" spans="2:12" x14ac:dyDescent="0.35">
      <c r="B102" s="9" t="s">
        <v>183</v>
      </c>
      <c r="C102" s="25">
        <v>3288.97</v>
      </c>
      <c r="D102" s="20">
        <v>0.87429999999999997</v>
      </c>
      <c r="E102" s="110">
        <v>3354.75</v>
      </c>
      <c r="F102" s="25"/>
      <c r="G102" s="74"/>
      <c r="I102" s="19"/>
      <c r="L102" s="19"/>
    </row>
    <row r="103" spans="2:12" x14ac:dyDescent="0.35">
      <c r="B103" s="9" t="s">
        <v>184</v>
      </c>
      <c r="C103" s="25">
        <v>3385.81</v>
      </c>
      <c r="D103" s="20">
        <v>0.87429999999999997</v>
      </c>
      <c r="E103" s="110">
        <v>3453.53</v>
      </c>
      <c r="F103" s="25"/>
      <c r="G103" s="74"/>
      <c r="I103" s="19"/>
      <c r="L103" s="19"/>
    </row>
    <row r="104" spans="2:12" x14ac:dyDescent="0.35">
      <c r="B104" s="13" t="s">
        <v>185</v>
      </c>
      <c r="C104" s="25">
        <v>2742.84</v>
      </c>
      <c r="D104" s="20">
        <v>0.87429999999999997</v>
      </c>
      <c r="E104" s="110">
        <v>2797.7</v>
      </c>
      <c r="F104" s="25"/>
      <c r="G104" s="74"/>
      <c r="I104" s="19"/>
      <c r="L104" s="19"/>
    </row>
    <row r="105" spans="2:12" x14ac:dyDescent="0.35">
      <c r="B105" s="13" t="s">
        <v>186</v>
      </c>
      <c r="C105" s="25">
        <v>2953.24</v>
      </c>
      <c r="D105" s="20">
        <v>0.87429999999999997</v>
      </c>
      <c r="E105" s="110">
        <v>3012.3</v>
      </c>
      <c r="F105" s="25"/>
      <c r="G105" s="74"/>
      <c r="I105" s="19"/>
      <c r="L105" s="19"/>
    </row>
    <row r="106" spans="2:12" x14ac:dyDescent="0.35">
      <c r="B106" s="13" t="s">
        <v>187</v>
      </c>
      <c r="C106" s="25">
        <v>3017.8</v>
      </c>
      <c r="D106" s="20">
        <v>0.87429999999999997</v>
      </c>
      <c r="E106" s="110">
        <v>3078.16</v>
      </c>
      <c r="F106" s="25"/>
      <c r="G106" s="74"/>
      <c r="I106" s="19"/>
      <c r="L106" s="19"/>
    </row>
    <row r="107" spans="2:12" x14ac:dyDescent="0.35">
      <c r="B107" s="13" t="s">
        <v>188</v>
      </c>
      <c r="C107" s="25">
        <v>3082.36</v>
      </c>
      <c r="D107" s="20">
        <v>0.87429999999999997</v>
      </c>
      <c r="E107" s="110">
        <v>3144.01</v>
      </c>
      <c r="F107" s="25"/>
      <c r="G107" s="74"/>
      <c r="I107" s="19"/>
      <c r="L107" s="19"/>
    </row>
    <row r="108" spans="2:12" x14ac:dyDescent="0.35">
      <c r="B108" s="13" t="s">
        <v>189</v>
      </c>
      <c r="C108" s="25">
        <v>3230.84</v>
      </c>
      <c r="D108" s="20">
        <v>0.87429999999999997</v>
      </c>
      <c r="E108" s="110">
        <v>3295.46</v>
      </c>
      <c r="F108" s="25"/>
      <c r="G108" s="74"/>
      <c r="I108" s="19"/>
      <c r="L108" s="19"/>
    </row>
    <row r="109" spans="2:12" x14ac:dyDescent="0.35">
      <c r="B109" s="13" t="s">
        <v>190</v>
      </c>
      <c r="C109" s="25">
        <v>3385.81</v>
      </c>
      <c r="D109" s="20">
        <v>0.87429999999999997</v>
      </c>
      <c r="E109" s="110">
        <v>3453.53</v>
      </c>
      <c r="F109" s="25"/>
      <c r="G109" s="74"/>
      <c r="I109" s="19"/>
      <c r="L109" s="19"/>
    </row>
    <row r="110" spans="2:12" x14ac:dyDescent="0.35">
      <c r="B110" s="13" t="s">
        <v>191</v>
      </c>
      <c r="C110" s="25">
        <v>2534.4899999999998</v>
      </c>
      <c r="D110" s="20">
        <v>0.87429999999999997</v>
      </c>
      <c r="E110" s="110">
        <v>2585.1799999999998</v>
      </c>
      <c r="F110" s="25"/>
      <c r="G110" s="74"/>
      <c r="I110" s="19"/>
      <c r="L110" s="19"/>
    </row>
    <row r="111" spans="2:12" x14ac:dyDescent="0.35">
      <c r="B111" s="13" t="s">
        <v>192</v>
      </c>
      <c r="C111" s="25">
        <v>2565.06</v>
      </c>
      <c r="D111" s="20">
        <v>0.87429999999999997</v>
      </c>
      <c r="E111" s="110">
        <v>2616.36</v>
      </c>
      <c r="F111" s="25"/>
      <c r="G111" s="74"/>
      <c r="I111" s="19"/>
      <c r="L111" s="19"/>
    </row>
    <row r="112" spans="2:12" x14ac:dyDescent="0.35">
      <c r="B112" s="13" t="s">
        <v>193</v>
      </c>
      <c r="C112" s="25">
        <v>2601.7800000000002</v>
      </c>
      <c r="D112" s="20">
        <v>0.87429999999999997</v>
      </c>
      <c r="E112" s="110">
        <v>2653.82</v>
      </c>
      <c r="F112" s="25"/>
      <c r="G112" s="74"/>
      <c r="I112" s="19"/>
      <c r="L112" s="19"/>
    </row>
    <row r="113" spans="2:12" x14ac:dyDescent="0.35">
      <c r="B113" s="13" t="s">
        <v>194</v>
      </c>
      <c r="C113" s="25">
        <v>2638.51</v>
      </c>
      <c r="D113" s="20">
        <v>0.87429999999999997</v>
      </c>
      <c r="E113" s="110">
        <v>2691.28</v>
      </c>
      <c r="F113" s="25"/>
      <c r="G113" s="74"/>
      <c r="I113" s="19"/>
      <c r="L113" s="19"/>
    </row>
    <row r="114" spans="2:12" x14ac:dyDescent="0.35">
      <c r="B114" s="13" t="s">
        <v>195</v>
      </c>
      <c r="C114" s="25">
        <v>2730.3</v>
      </c>
      <c r="D114" s="20">
        <v>0.87429999999999997</v>
      </c>
      <c r="E114" s="110">
        <v>2784.91</v>
      </c>
      <c r="F114" s="25"/>
      <c r="G114" s="74"/>
      <c r="I114" s="19"/>
      <c r="L114" s="19"/>
    </row>
    <row r="115" spans="2:12" x14ac:dyDescent="0.35">
      <c r="B115" s="9" t="s">
        <v>196</v>
      </c>
      <c r="C115" s="25">
        <v>4695.8100000000004</v>
      </c>
      <c r="D115" s="26">
        <v>0.4647</v>
      </c>
      <c r="E115" s="110">
        <v>4789.7299999999996</v>
      </c>
      <c r="F115" s="25"/>
      <c r="G115" s="74"/>
      <c r="L115" s="19"/>
    </row>
    <row r="116" spans="2:12" x14ac:dyDescent="0.35">
      <c r="B116" s="9" t="s">
        <v>197</v>
      </c>
      <c r="C116" s="25">
        <v>4831.9799999999996</v>
      </c>
      <c r="D116" s="26">
        <v>0.4647</v>
      </c>
      <c r="E116" s="110">
        <v>4928.62</v>
      </c>
      <c r="F116" s="25"/>
      <c r="G116" s="74"/>
      <c r="L116" s="19"/>
    </row>
    <row r="117" spans="2:12" x14ac:dyDescent="0.35">
      <c r="B117" s="9" t="s">
        <v>198</v>
      </c>
      <c r="C117" s="25">
        <v>5427.51</v>
      </c>
      <c r="D117" s="26">
        <v>0.4647</v>
      </c>
      <c r="E117" s="110">
        <v>5536.06</v>
      </c>
      <c r="F117" s="25"/>
      <c r="G117" s="74"/>
      <c r="L117" s="19"/>
    </row>
    <row r="118" spans="2:12" x14ac:dyDescent="0.35">
      <c r="B118" s="9" t="s">
        <v>199</v>
      </c>
      <c r="C118" s="25">
        <v>5874.12</v>
      </c>
      <c r="D118" s="26">
        <v>0.4647</v>
      </c>
      <c r="E118" s="110">
        <v>5991.6</v>
      </c>
      <c r="F118" s="25"/>
      <c r="G118" s="74"/>
      <c r="L118" s="19"/>
    </row>
    <row r="119" spans="2:12" x14ac:dyDescent="0.35">
      <c r="B119" s="9" t="s">
        <v>200</v>
      </c>
      <c r="C119" s="25">
        <v>6544.06</v>
      </c>
      <c r="D119" s="26">
        <v>0.4647</v>
      </c>
      <c r="E119" s="110">
        <v>6674.94</v>
      </c>
      <c r="F119" s="25"/>
      <c r="G119" s="74"/>
      <c r="L119" s="19"/>
    </row>
    <row r="120" spans="2:12" x14ac:dyDescent="0.35">
      <c r="B120" s="9" t="s">
        <v>201</v>
      </c>
      <c r="C120" s="25">
        <v>6953.44</v>
      </c>
      <c r="D120" s="26">
        <v>0.4647</v>
      </c>
      <c r="E120" s="110">
        <v>7092.51</v>
      </c>
      <c r="F120" s="25"/>
      <c r="G120" s="74"/>
      <c r="L120" s="19"/>
    </row>
    <row r="121" spans="2:12" x14ac:dyDescent="0.35">
      <c r="B121" s="9" t="s">
        <v>202</v>
      </c>
      <c r="C121" s="25">
        <v>4285.3</v>
      </c>
      <c r="D121" s="26">
        <v>0.74350000000000005</v>
      </c>
      <c r="E121" s="110">
        <v>4371.01</v>
      </c>
      <c r="F121" s="25"/>
      <c r="G121" s="74"/>
      <c r="L121" s="19"/>
    </row>
    <row r="122" spans="2:12" x14ac:dyDescent="0.35">
      <c r="B122" s="9" t="s">
        <v>203</v>
      </c>
      <c r="C122" s="25">
        <v>4645.8999999999996</v>
      </c>
      <c r="D122" s="26">
        <v>0.74350000000000005</v>
      </c>
      <c r="E122" s="110">
        <v>4738.82</v>
      </c>
      <c r="F122" s="25"/>
      <c r="G122" s="74"/>
      <c r="L122" s="19"/>
    </row>
    <row r="123" spans="2:12" x14ac:dyDescent="0.35">
      <c r="B123" s="9" t="s">
        <v>204</v>
      </c>
      <c r="C123" s="25">
        <v>5129.72</v>
      </c>
      <c r="D123" s="26">
        <v>0.74350000000000005</v>
      </c>
      <c r="E123" s="110">
        <v>5232.3100000000004</v>
      </c>
      <c r="F123" s="25"/>
      <c r="G123" s="74"/>
      <c r="L123" s="19"/>
    </row>
    <row r="124" spans="2:12" x14ac:dyDescent="0.35">
      <c r="B124" s="9" t="s">
        <v>205</v>
      </c>
      <c r="C124" s="25">
        <v>5427.51</v>
      </c>
      <c r="D124" s="26">
        <v>0.74350000000000005</v>
      </c>
      <c r="E124" s="110">
        <v>5536.06</v>
      </c>
      <c r="F124" s="25"/>
      <c r="G124" s="74"/>
      <c r="L124" s="19"/>
    </row>
    <row r="125" spans="2:12" x14ac:dyDescent="0.35">
      <c r="B125" s="9" t="s">
        <v>206</v>
      </c>
      <c r="C125" s="25">
        <v>6022.97</v>
      </c>
      <c r="D125" s="26">
        <v>0.74350000000000005</v>
      </c>
      <c r="E125" s="110">
        <v>6143.43</v>
      </c>
      <c r="F125" s="25"/>
      <c r="G125" s="74"/>
      <c r="L125" s="19"/>
    </row>
    <row r="126" spans="2:12" x14ac:dyDescent="0.35">
      <c r="B126" s="9" t="s">
        <v>207</v>
      </c>
      <c r="C126" s="25">
        <v>6372.84</v>
      </c>
      <c r="D126" s="26">
        <v>0.74350000000000005</v>
      </c>
      <c r="E126" s="110">
        <v>6500.3</v>
      </c>
      <c r="F126" s="25"/>
      <c r="G126" s="74"/>
      <c r="L126" s="19"/>
    </row>
    <row r="127" spans="2:12" x14ac:dyDescent="0.35">
      <c r="B127" s="9" t="s">
        <v>208</v>
      </c>
      <c r="C127" s="25">
        <v>4189.0200000000004</v>
      </c>
      <c r="D127" s="26">
        <v>0.74350000000000005</v>
      </c>
      <c r="E127" s="110">
        <v>4272.8</v>
      </c>
      <c r="F127" s="25"/>
      <c r="G127" s="74"/>
      <c r="L127" s="19"/>
    </row>
    <row r="128" spans="2:12" x14ac:dyDescent="0.35">
      <c r="B128" s="9" t="s">
        <v>209</v>
      </c>
      <c r="C128" s="25">
        <v>4549.16</v>
      </c>
      <c r="D128" s="26">
        <v>0.74350000000000005</v>
      </c>
      <c r="E128" s="110">
        <v>4640.1400000000003</v>
      </c>
      <c r="F128" s="25"/>
      <c r="G128" s="74"/>
      <c r="L128" s="19"/>
    </row>
    <row r="129" spans="2:15" x14ac:dyDescent="0.35">
      <c r="B129" s="9" t="s">
        <v>210</v>
      </c>
      <c r="C129" s="25">
        <v>4876.66</v>
      </c>
      <c r="D129" s="26">
        <v>0.74350000000000005</v>
      </c>
      <c r="E129" s="110">
        <v>4974.1899999999996</v>
      </c>
      <c r="F129" s="25"/>
      <c r="G129" s="74"/>
      <c r="L129" s="19"/>
    </row>
    <row r="130" spans="2:15" x14ac:dyDescent="0.35">
      <c r="B130" s="9" t="s">
        <v>211</v>
      </c>
      <c r="C130" s="25">
        <v>5278.61</v>
      </c>
      <c r="D130" s="26">
        <v>0.74350000000000005</v>
      </c>
      <c r="E130" s="110">
        <v>5384.18</v>
      </c>
      <c r="F130" s="25"/>
      <c r="G130" s="74"/>
      <c r="L130" s="19"/>
      <c r="M130" s="19"/>
    </row>
    <row r="131" spans="2:15" x14ac:dyDescent="0.35">
      <c r="B131" s="9" t="s">
        <v>212</v>
      </c>
      <c r="C131" s="25">
        <v>5725.24</v>
      </c>
      <c r="D131" s="26">
        <v>0.74350000000000005</v>
      </c>
      <c r="E131" s="110">
        <v>5839.74</v>
      </c>
      <c r="F131" s="25"/>
      <c r="G131" s="74"/>
      <c r="L131" s="19"/>
    </row>
    <row r="132" spans="2:15" x14ac:dyDescent="0.35">
      <c r="B132" s="9" t="s">
        <v>213</v>
      </c>
      <c r="C132" s="25">
        <v>5993.21</v>
      </c>
      <c r="D132" s="26">
        <v>0.74350000000000005</v>
      </c>
      <c r="E132" s="110">
        <v>6113.07</v>
      </c>
      <c r="F132" s="25"/>
      <c r="G132" s="74"/>
      <c r="L132" s="19"/>
      <c r="O132" s="19"/>
    </row>
    <row r="133" spans="2:15" x14ac:dyDescent="0.35">
      <c r="B133" s="9" t="s">
        <v>214</v>
      </c>
      <c r="C133" s="25">
        <v>4040.87</v>
      </c>
      <c r="D133" s="26">
        <v>0.74350000000000005</v>
      </c>
      <c r="E133" s="110">
        <v>4121.6899999999996</v>
      </c>
      <c r="F133" s="110">
        <v>180</v>
      </c>
      <c r="G133" s="74"/>
      <c r="L133" s="19"/>
    </row>
    <row r="134" spans="2:15" x14ac:dyDescent="0.35">
      <c r="B134" s="9" t="s">
        <v>215</v>
      </c>
      <c r="C134" s="25">
        <v>4385.3599999999997</v>
      </c>
      <c r="D134" s="26">
        <v>0.74350000000000005</v>
      </c>
      <c r="E134" s="110">
        <v>4473.07</v>
      </c>
      <c r="F134" s="110">
        <v>180</v>
      </c>
      <c r="G134" s="74"/>
      <c r="L134" s="19"/>
    </row>
    <row r="135" spans="2:15" x14ac:dyDescent="0.35">
      <c r="B135" s="9" t="s">
        <v>216</v>
      </c>
      <c r="C135" s="25">
        <v>4683.16</v>
      </c>
      <c r="D135" s="26">
        <v>0.74350000000000005</v>
      </c>
      <c r="E135" s="110">
        <v>4776.82</v>
      </c>
      <c r="F135" s="110">
        <v>180</v>
      </c>
      <c r="G135" s="74"/>
      <c r="L135" s="19"/>
    </row>
    <row r="136" spans="2:15" x14ac:dyDescent="0.35">
      <c r="B136" s="9" t="s">
        <v>217</v>
      </c>
      <c r="C136" s="25">
        <v>5025.55</v>
      </c>
      <c r="D136" s="26">
        <v>0.74350000000000005</v>
      </c>
      <c r="E136" s="110">
        <v>5126.0600000000004</v>
      </c>
      <c r="F136" s="110">
        <v>180</v>
      </c>
      <c r="G136" s="74"/>
      <c r="L136" s="19"/>
    </row>
    <row r="137" spans="2:15" x14ac:dyDescent="0.35">
      <c r="B137" s="9" t="s">
        <v>218</v>
      </c>
      <c r="C137" s="25">
        <v>5576.37</v>
      </c>
      <c r="D137" s="26">
        <v>0.74350000000000005</v>
      </c>
      <c r="E137" s="110">
        <v>5687.9</v>
      </c>
      <c r="F137" s="110">
        <v>180</v>
      </c>
      <c r="G137" s="74"/>
      <c r="L137" s="19"/>
    </row>
    <row r="138" spans="2:15" x14ac:dyDescent="0.35">
      <c r="B138" s="9" t="s">
        <v>219</v>
      </c>
      <c r="C138" s="25">
        <v>5814.54</v>
      </c>
      <c r="D138" s="26">
        <v>0.74350000000000005</v>
      </c>
      <c r="E138" s="110">
        <v>5930.83</v>
      </c>
      <c r="F138" s="110">
        <v>180</v>
      </c>
      <c r="G138" s="74"/>
      <c r="L138" s="19"/>
    </row>
    <row r="139" spans="2:15" x14ac:dyDescent="0.35">
      <c r="B139" s="9" t="s">
        <v>220</v>
      </c>
      <c r="C139" s="25">
        <v>4020.78</v>
      </c>
      <c r="D139" s="26">
        <v>0.74350000000000005</v>
      </c>
      <c r="E139" s="110">
        <v>4101.2</v>
      </c>
      <c r="F139" s="110">
        <v>180</v>
      </c>
      <c r="G139" s="74"/>
      <c r="L139" s="19"/>
    </row>
    <row r="140" spans="2:15" x14ac:dyDescent="0.35">
      <c r="B140" s="9" t="s">
        <v>221</v>
      </c>
      <c r="C140" s="25">
        <v>4342.6099999999997</v>
      </c>
      <c r="D140" s="26">
        <v>0.74350000000000005</v>
      </c>
      <c r="E140" s="110">
        <v>4429.46</v>
      </c>
      <c r="F140" s="110">
        <v>180</v>
      </c>
      <c r="G140" s="74"/>
      <c r="L140" s="19"/>
    </row>
    <row r="141" spans="2:15" x14ac:dyDescent="0.35">
      <c r="B141" s="9" t="s">
        <v>222</v>
      </c>
      <c r="C141" s="25">
        <v>4673.51</v>
      </c>
      <c r="D141" s="26">
        <v>0.74350000000000005</v>
      </c>
      <c r="E141" s="110">
        <v>4766.9799999999996</v>
      </c>
      <c r="F141" s="110">
        <v>180</v>
      </c>
      <c r="G141" s="74"/>
    </row>
    <row r="142" spans="2:15" x14ac:dyDescent="0.35">
      <c r="B142" s="9" t="s">
        <v>223</v>
      </c>
      <c r="C142" s="25">
        <v>5010.12</v>
      </c>
      <c r="D142" s="26">
        <v>0.74350000000000005</v>
      </c>
      <c r="E142" s="110">
        <v>5110.32</v>
      </c>
      <c r="F142" s="110">
        <v>180</v>
      </c>
      <c r="G142" s="74"/>
    </row>
    <row r="143" spans="2:15" x14ac:dyDescent="0.35">
      <c r="B143" s="9" t="s">
        <v>224</v>
      </c>
      <c r="C143" s="25">
        <v>5382.33</v>
      </c>
      <c r="D143" s="26">
        <v>0.74350000000000005</v>
      </c>
      <c r="E143" s="110">
        <v>5489.98</v>
      </c>
      <c r="F143" s="110">
        <v>180</v>
      </c>
      <c r="G143" s="74"/>
    </row>
    <row r="144" spans="2:15" x14ac:dyDescent="0.35">
      <c r="B144" s="9" t="s">
        <v>225</v>
      </c>
      <c r="C144" s="25">
        <v>5642.84</v>
      </c>
      <c r="D144" s="26">
        <v>0.74350000000000005</v>
      </c>
      <c r="E144" s="110">
        <v>5755.7</v>
      </c>
      <c r="F144" s="110">
        <v>180</v>
      </c>
      <c r="G144" s="74"/>
    </row>
    <row r="145" spans="2:7" x14ac:dyDescent="0.35">
      <c r="B145" s="9" t="s">
        <v>226</v>
      </c>
      <c r="C145" s="25">
        <v>3956.35</v>
      </c>
      <c r="D145" s="26">
        <v>0.74350000000000005</v>
      </c>
      <c r="E145" s="110">
        <v>4035.48</v>
      </c>
      <c r="F145" s="110">
        <v>180</v>
      </c>
      <c r="G145" s="74"/>
    </row>
    <row r="146" spans="2:7" x14ac:dyDescent="0.35">
      <c r="B146" s="9" t="s">
        <v>227</v>
      </c>
      <c r="C146" s="25">
        <v>4238.8999999999996</v>
      </c>
      <c r="D146" s="26">
        <v>0.74350000000000005</v>
      </c>
      <c r="E146" s="110">
        <v>4323.68</v>
      </c>
      <c r="F146" s="110">
        <v>180</v>
      </c>
      <c r="G146" s="74"/>
    </row>
    <row r="147" spans="2:7" x14ac:dyDescent="0.35">
      <c r="B147" s="9" t="s">
        <v>228</v>
      </c>
      <c r="C147" s="25">
        <v>4608.6899999999996</v>
      </c>
      <c r="D147" s="26">
        <v>0.74350000000000005</v>
      </c>
      <c r="E147" s="110">
        <v>4700.8599999999997</v>
      </c>
      <c r="F147" s="110">
        <v>180</v>
      </c>
      <c r="G147" s="74"/>
    </row>
    <row r="148" spans="2:7" x14ac:dyDescent="0.35">
      <c r="B148" s="9" t="s">
        <v>229</v>
      </c>
      <c r="C148" s="25">
        <v>4906.41</v>
      </c>
      <c r="D148" s="26">
        <v>0.74350000000000005</v>
      </c>
      <c r="E148" s="110">
        <v>5004.54</v>
      </c>
      <c r="F148" s="110">
        <v>180</v>
      </c>
      <c r="G148" s="74"/>
    </row>
    <row r="149" spans="2:7" x14ac:dyDescent="0.35">
      <c r="B149" s="9" t="s">
        <v>230</v>
      </c>
      <c r="C149" s="25">
        <v>5278.61</v>
      </c>
      <c r="D149" s="26">
        <v>0.74350000000000005</v>
      </c>
      <c r="E149" s="110">
        <v>5384.18</v>
      </c>
      <c r="F149" s="110">
        <v>180</v>
      </c>
      <c r="G149" s="74"/>
    </row>
    <row r="150" spans="2:7" x14ac:dyDescent="0.35">
      <c r="B150" s="9" t="s">
        <v>231</v>
      </c>
      <c r="C150" s="25">
        <v>5464.69</v>
      </c>
      <c r="D150" s="26">
        <v>0.74350000000000005</v>
      </c>
      <c r="E150" s="110">
        <v>5573.98</v>
      </c>
      <c r="F150" s="110">
        <v>180</v>
      </c>
      <c r="G150" s="74"/>
    </row>
    <row r="151" spans="2:7" x14ac:dyDescent="0.35">
      <c r="B151" s="9" t="s">
        <v>232</v>
      </c>
      <c r="C151" s="25">
        <v>3904.99</v>
      </c>
      <c r="D151" s="26">
        <v>0.74350000000000005</v>
      </c>
      <c r="E151" s="110">
        <v>3983.09</v>
      </c>
      <c r="F151" s="110">
        <v>180</v>
      </c>
      <c r="G151" s="74"/>
    </row>
    <row r="152" spans="2:7" x14ac:dyDescent="0.35">
      <c r="B152" s="9" t="s">
        <v>233</v>
      </c>
      <c r="C152" s="25">
        <v>4227.5</v>
      </c>
      <c r="D152" s="26">
        <v>0.74350000000000005</v>
      </c>
      <c r="E152" s="110">
        <v>4312.05</v>
      </c>
      <c r="F152" s="110">
        <v>180</v>
      </c>
      <c r="G152" s="74"/>
    </row>
    <row r="153" spans="2:7" x14ac:dyDescent="0.35">
      <c r="B153" s="9" t="s">
        <v>234</v>
      </c>
      <c r="C153" s="25">
        <v>4582.0600000000004</v>
      </c>
      <c r="D153" s="26">
        <v>0.74350000000000005</v>
      </c>
      <c r="E153" s="110">
        <v>4673.7</v>
      </c>
      <c r="F153" s="110">
        <v>180</v>
      </c>
      <c r="G153" s="74"/>
    </row>
    <row r="154" spans="2:7" x14ac:dyDescent="0.35">
      <c r="B154" s="9" t="s">
        <v>235</v>
      </c>
      <c r="C154" s="25">
        <v>4894.6899999999996</v>
      </c>
      <c r="D154" s="26">
        <v>0.74350000000000005</v>
      </c>
      <c r="E154" s="110">
        <v>4992.58</v>
      </c>
      <c r="F154" s="110">
        <v>180</v>
      </c>
      <c r="G154" s="74"/>
    </row>
    <row r="155" spans="2:7" x14ac:dyDescent="0.35">
      <c r="B155" s="9" t="s">
        <v>236</v>
      </c>
      <c r="C155" s="25">
        <v>5281.78</v>
      </c>
      <c r="D155" s="26">
        <v>0.74350000000000005</v>
      </c>
      <c r="E155" s="110">
        <v>5387.42</v>
      </c>
      <c r="F155" s="110">
        <v>180</v>
      </c>
      <c r="G155" s="74"/>
    </row>
    <row r="156" spans="2:7" x14ac:dyDescent="0.35">
      <c r="B156" s="9" t="s">
        <v>237</v>
      </c>
      <c r="C156" s="25">
        <v>5445.55</v>
      </c>
      <c r="D156" s="26">
        <v>0.74350000000000005</v>
      </c>
      <c r="E156" s="110">
        <v>5554.46</v>
      </c>
      <c r="F156" s="110">
        <v>180</v>
      </c>
      <c r="G156" s="74"/>
    </row>
    <row r="157" spans="2:7" x14ac:dyDescent="0.35">
      <c r="B157" s="9" t="s">
        <v>238</v>
      </c>
      <c r="C157" s="25">
        <v>3809.38</v>
      </c>
      <c r="D157" s="26">
        <v>0.74350000000000005</v>
      </c>
      <c r="E157" s="110">
        <v>3885.57</v>
      </c>
      <c r="F157" s="110">
        <v>180</v>
      </c>
      <c r="G157" s="74"/>
    </row>
    <row r="158" spans="2:7" x14ac:dyDescent="0.35">
      <c r="B158" s="9" t="s">
        <v>24</v>
      </c>
      <c r="C158" s="25">
        <v>4170.46</v>
      </c>
      <c r="D158" s="26">
        <v>0.74350000000000005</v>
      </c>
      <c r="E158" s="110">
        <v>4253.87</v>
      </c>
      <c r="F158" s="110">
        <v>180</v>
      </c>
      <c r="G158" s="74"/>
    </row>
    <row r="159" spans="2:7" x14ac:dyDescent="0.35">
      <c r="B159" s="9" t="s">
        <v>239</v>
      </c>
      <c r="C159" s="25">
        <v>4359.5600000000004</v>
      </c>
      <c r="D159" s="26">
        <v>0.74350000000000005</v>
      </c>
      <c r="E159" s="110">
        <v>4446.75</v>
      </c>
      <c r="F159" s="110">
        <v>180</v>
      </c>
      <c r="G159" s="74"/>
    </row>
    <row r="160" spans="2:7" x14ac:dyDescent="0.35">
      <c r="B160" s="9" t="s">
        <v>240</v>
      </c>
      <c r="C160" s="25">
        <v>4835.9399999999996</v>
      </c>
      <c r="D160" s="26">
        <v>0.74350000000000005</v>
      </c>
      <c r="E160" s="110">
        <v>4932.66</v>
      </c>
      <c r="F160" s="110">
        <v>180</v>
      </c>
      <c r="G160" s="74"/>
    </row>
    <row r="161" spans="2:7" x14ac:dyDescent="0.35">
      <c r="B161" s="9" t="s">
        <v>241</v>
      </c>
      <c r="C161" s="25">
        <v>5208.16</v>
      </c>
      <c r="D161" s="26">
        <v>0.74350000000000005</v>
      </c>
      <c r="E161" s="110">
        <v>5312.32</v>
      </c>
      <c r="F161" s="110">
        <v>180</v>
      </c>
      <c r="G161" s="74"/>
    </row>
    <row r="162" spans="2:7" x14ac:dyDescent="0.35">
      <c r="B162" s="9" t="s">
        <v>242</v>
      </c>
      <c r="C162" s="25">
        <v>5431.46</v>
      </c>
      <c r="D162" s="26">
        <v>0.74350000000000005</v>
      </c>
      <c r="E162" s="110">
        <v>5540.09</v>
      </c>
      <c r="F162" s="110">
        <v>180</v>
      </c>
      <c r="G162" s="74"/>
    </row>
    <row r="163" spans="2:7" x14ac:dyDescent="0.35">
      <c r="B163" s="9" t="s">
        <v>243</v>
      </c>
      <c r="C163" s="25">
        <v>3735.57</v>
      </c>
      <c r="D163" s="26">
        <v>0.74350000000000005</v>
      </c>
      <c r="E163" s="110">
        <v>3810.28</v>
      </c>
      <c r="F163" s="110">
        <v>180</v>
      </c>
      <c r="G163" s="74"/>
    </row>
    <row r="164" spans="2:7" x14ac:dyDescent="0.35">
      <c r="B164" s="9" t="s">
        <v>244</v>
      </c>
      <c r="C164" s="25">
        <v>4094.37</v>
      </c>
      <c r="D164" s="26">
        <v>0.74350000000000005</v>
      </c>
      <c r="E164" s="110">
        <v>4176.26</v>
      </c>
      <c r="F164" s="110">
        <v>180</v>
      </c>
      <c r="G164" s="74"/>
    </row>
    <row r="165" spans="2:7" x14ac:dyDescent="0.35">
      <c r="B165" s="9" t="s">
        <v>245</v>
      </c>
      <c r="C165" s="25">
        <v>4282.25</v>
      </c>
      <c r="D165" s="26">
        <v>0.74350000000000005</v>
      </c>
      <c r="E165" s="110">
        <v>4367.8999999999996</v>
      </c>
      <c r="F165" s="110">
        <v>180</v>
      </c>
      <c r="G165" s="74"/>
    </row>
    <row r="166" spans="2:7" x14ac:dyDescent="0.35">
      <c r="B166" s="9" t="s">
        <v>246</v>
      </c>
      <c r="C166" s="25">
        <v>4757.57</v>
      </c>
      <c r="D166" s="26">
        <v>0.74350000000000005</v>
      </c>
      <c r="E166" s="110">
        <v>4852.72</v>
      </c>
      <c r="F166" s="110">
        <v>180</v>
      </c>
      <c r="G166" s="74"/>
    </row>
    <row r="167" spans="2:7" x14ac:dyDescent="0.35">
      <c r="B167" s="9" t="s">
        <v>247</v>
      </c>
      <c r="C167" s="25">
        <v>5129.72</v>
      </c>
      <c r="D167" s="26">
        <v>0.74350000000000005</v>
      </c>
      <c r="E167" s="110">
        <v>5232.3100000000004</v>
      </c>
      <c r="F167" s="110">
        <v>180</v>
      </c>
      <c r="G167" s="74"/>
    </row>
    <row r="168" spans="2:7" x14ac:dyDescent="0.35">
      <c r="B168" s="9" t="s">
        <v>248</v>
      </c>
      <c r="C168" s="25">
        <v>5353.05</v>
      </c>
      <c r="D168" s="26">
        <v>0.74350000000000005</v>
      </c>
      <c r="E168" s="110">
        <v>5460.11</v>
      </c>
      <c r="F168" s="110">
        <v>180</v>
      </c>
      <c r="G168" s="74"/>
    </row>
    <row r="169" spans="2:7" x14ac:dyDescent="0.35">
      <c r="B169" s="9" t="s">
        <v>249</v>
      </c>
      <c r="C169" s="25">
        <v>3553.32</v>
      </c>
      <c r="D169" s="26">
        <v>0.74350000000000005</v>
      </c>
      <c r="E169" s="110">
        <v>3624.39</v>
      </c>
      <c r="F169" s="110">
        <v>130</v>
      </c>
      <c r="G169" s="74"/>
    </row>
    <row r="170" spans="2:7" x14ac:dyDescent="0.35">
      <c r="B170" s="9" t="s">
        <v>250</v>
      </c>
      <c r="C170" s="25">
        <v>3872.74</v>
      </c>
      <c r="D170" s="26">
        <v>0.74350000000000005</v>
      </c>
      <c r="E170" s="110">
        <v>3950.19</v>
      </c>
      <c r="F170" s="110">
        <v>130</v>
      </c>
      <c r="G170" s="74"/>
    </row>
    <row r="171" spans="2:7" x14ac:dyDescent="0.35">
      <c r="B171" s="9" t="s">
        <v>251</v>
      </c>
      <c r="C171" s="25">
        <v>4155.7700000000004</v>
      </c>
      <c r="D171" s="26">
        <v>0.74350000000000005</v>
      </c>
      <c r="E171" s="110">
        <v>4238.8900000000003</v>
      </c>
      <c r="F171" s="110">
        <v>130</v>
      </c>
      <c r="G171" s="74"/>
    </row>
    <row r="172" spans="2:7" x14ac:dyDescent="0.35">
      <c r="B172" s="9" t="s">
        <v>252</v>
      </c>
      <c r="C172" s="25">
        <v>4571.34</v>
      </c>
      <c r="D172" s="26">
        <v>0.74350000000000005</v>
      </c>
      <c r="E172" s="110">
        <v>4662.7700000000004</v>
      </c>
      <c r="F172" s="110">
        <v>130</v>
      </c>
      <c r="G172" s="74"/>
    </row>
    <row r="173" spans="2:7" x14ac:dyDescent="0.35">
      <c r="B173" s="9" t="s">
        <v>253</v>
      </c>
      <c r="C173" s="25">
        <v>4962.09</v>
      </c>
      <c r="D173" s="26">
        <v>0.74350000000000005</v>
      </c>
      <c r="E173" s="110">
        <v>5061.33</v>
      </c>
      <c r="F173" s="110">
        <v>130</v>
      </c>
      <c r="G173" s="74"/>
    </row>
    <row r="174" spans="2:7" x14ac:dyDescent="0.35">
      <c r="B174" s="9" t="s">
        <v>254</v>
      </c>
      <c r="C174" s="25">
        <v>5263.58</v>
      </c>
      <c r="D174" s="26">
        <v>0.74350000000000005</v>
      </c>
      <c r="E174" s="110">
        <v>5368.85</v>
      </c>
      <c r="F174" s="110">
        <v>130</v>
      </c>
      <c r="G174" s="74"/>
    </row>
    <row r="175" spans="2:7" x14ac:dyDescent="0.35">
      <c r="B175" s="9" t="s">
        <v>255</v>
      </c>
      <c r="C175" s="25">
        <v>3489.55</v>
      </c>
      <c r="D175" s="26">
        <v>0.88139999999999996</v>
      </c>
      <c r="E175" s="110">
        <v>3559.34</v>
      </c>
      <c r="F175" s="110">
        <v>130</v>
      </c>
      <c r="G175" s="74"/>
    </row>
    <row r="176" spans="2:7" x14ac:dyDescent="0.35">
      <c r="B176" s="9" t="s">
        <v>256</v>
      </c>
      <c r="C176" s="25">
        <v>3794.83</v>
      </c>
      <c r="D176" s="26">
        <v>0.88139999999999996</v>
      </c>
      <c r="E176" s="110">
        <v>3870.73</v>
      </c>
      <c r="F176" s="110">
        <v>130</v>
      </c>
      <c r="G176" s="74"/>
    </row>
    <row r="177" spans="2:7" x14ac:dyDescent="0.35">
      <c r="B177" s="9" t="s">
        <v>257</v>
      </c>
      <c r="C177" s="25">
        <v>4080.01</v>
      </c>
      <c r="D177" s="26">
        <v>0.88139999999999996</v>
      </c>
      <c r="E177" s="110">
        <v>4161.6099999999997</v>
      </c>
      <c r="F177" s="110">
        <v>130</v>
      </c>
      <c r="G177" s="74"/>
    </row>
    <row r="178" spans="2:7" x14ac:dyDescent="0.35">
      <c r="B178" s="9" t="s">
        <v>258</v>
      </c>
      <c r="C178" s="25">
        <v>4494.8500000000004</v>
      </c>
      <c r="D178" s="26">
        <v>0.88139999999999996</v>
      </c>
      <c r="E178" s="110">
        <v>4584.75</v>
      </c>
      <c r="F178" s="110">
        <v>130</v>
      </c>
      <c r="G178" s="74"/>
    </row>
    <row r="179" spans="2:7" x14ac:dyDescent="0.35">
      <c r="B179" s="9" t="s">
        <v>259</v>
      </c>
      <c r="C179" s="25">
        <v>4883.74</v>
      </c>
      <c r="D179" s="26">
        <v>0.88139999999999996</v>
      </c>
      <c r="E179" s="110">
        <v>4981.41</v>
      </c>
      <c r="F179" s="110">
        <v>130</v>
      </c>
      <c r="G179" s="74"/>
    </row>
    <row r="180" spans="2:7" x14ac:dyDescent="0.35">
      <c r="B180" s="9" t="s">
        <v>260</v>
      </c>
      <c r="C180" s="25">
        <v>5181.91</v>
      </c>
      <c r="D180" s="26">
        <v>0.88139999999999996</v>
      </c>
      <c r="E180" s="110">
        <v>5285.55</v>
      </c>
      <c r="F180" s="110">
        <v>130</v>
      </c>
      <c r="G180" s="74"/>
    </row>
    <row r="181" spans="2:7" x14ac:dyDescent="0.35">
      <c r="B181" s="9" t="s">
        <v>261</v>
      </c>
      <c r="C181" s="25">
        <v>3444.29</v>
      </c>
      <c r="D181" s="26">
        <v>0.88139999999999996</v>
      </c>
      <c r="E181" s="110">
        <v>3513.18</v>
      </c>
      <c r="F181" s="25"/>
      <c r="G181" s="74"/>
    </row>
    <row r="182" spans="2:7" x14ac:dyDescent="0.35">
      <c r="B182" s="9" t="s">
        <v>262</v>
      </c>
      <c r="C182" s="25">
        <v>3717.03</v>
      </c>
      <c r="D182" s="26">
        <v>0.88139999999999996</v>
      </c>
      <c r="E182" s="110">
        <v>3791.37</v>
      </c>
      <c r="F182" s="25"/>
      <c r="G182" s="74"/>
    </row>
    <row r="183" spans="2:7" x14ac:dyDescent="0.35">
      <c r="B183" s="9" t="s">
        <v>263</v>
      </c>
      <c r="C183" s="25">
        <v>3963.34</v>
      </c>
      <c r="D183" s="26">
        <v>0.88139999999999996</v>
      </c>
      <c r="E183" s="110">
        <v>4042.61</v>
      </c>
      <c r="F183" s="25"/>
      <c r="G183" s="74"/>
    </row>
    <row r="184" spans="2:7" x14ac:dyDescent="0.35">
      <c r="B184" s="9" t="s">
        <v>264</v>
      </c>
      <c r="C184" s="25">
        <v>4196.7</v>
      </c>
      <c r="D184" s="26">
        <v>0.88139999999999996</v>
      </c>
      <c r="E184" s="110">
        <v>4280.63</v>
      </c>
      <c r="F184" s="25"/>
      <c r="G184" s="74"/>
    </row>
    <row r="185" spans="2:7" x14ac:dyDescent="0.35">
      <c r="B185" s="9" t="s">
        <v>265</v>
      </c>
      <c r="C185" s="25">
        <v>4423.54</v>
      </c>
      <c r="D185" s="26">
        <v>0.88139999999999996</v>
      </c>
      <c r="E185" s="110">
        <v>4512.01</v>
      </c>
      <c r="F185" s="25"/>
      <c r="G185" s="74"/>
    </row>
    <row r="186" spans="2:7" x14ac:dyDescent="0.35">
      <c r="B186" s="9" t="s">
        <v>266</v>
      </c>
      <c r="C186" s="25">
        <v>4660.13</v>
      </c>
      <c r="D186" s="26">
        <v>0.88139999999999996</v>
      </c>
      <c r="E186" s="110">
        <v>4753.33</v>
      </c>
      <c r="F186" s="25"/>
      <c r="G186" s="74"/>
    </row>
    <row r="187" spans="2:7" x14ac:dyDescent="0.35">
      <c r="B187" s="9" t="s">
        <v>267</v>
      </c>
      <c r="C187" s="25">
        <v>3369.05</v>
      </c>
      <c r="D187" s="26">
        <v>0.88139999999999996</v>
      </c>
      <c r="E187" s="110">
        <v>3436.43</v>
      </c>
      <c r="F187" s="25"/>
      <c r="G187" s="74"/>
    </row>
    <row r="188" spans="2:7" x14ac:dyDescent="0.35">
      <c r="B188" s="9" t="s">
        <v>268</v>
      </c>
      <c r="C188" s="25">
        <v>3625.89</v>
      </c>
      <c r="D188" s="26">
        <v>0.88139999999999996</v>
      </c>
      <c r="E188" s="110">
        <v>3698.41</v>
      </c>
      <c r="F188" s="25"/>
      <c r="G188" s="74"/>
    </row>
    <row r="189" spans="2:7" x14ac:dyDescent="0.35">
      <c r="B189" s="9" t="s">
        <v>269</v>
      </c>
      <c r="C189" s="25">
        <v>3855.89</v>
      </c>
      <c r="D189" s="26">
        <v>0.88139999999999996</v>
      </c>
      <c r="E189" s="110">
        <v>3933.01</v>
      </c>
      <c r="F189" s="25"/>
      <c r="G189" s="74"/>
    </row>
    <row r="190" spans="2:7" x14ac:dyDescent="0.35">
      <c r="B190" s="9" t="s">
        <v>270</v>
      </c>
      <c r="C190" s="25">
        <v>4087.12</v>
      </c>
      <c r="D190" s="26">
        <v>0.88139999999999996</v>
      </c>
      <c r="E190" s="110">
        <v>4168.8599999999997</v>
      </c>
      <c r="F190" s="25"/>
      <c r="G190" s="74"/>
    </row>
    <row r="191" spans="2:7" x14ac:dyDescent="0.35">
      <c r="B191" s="9" t="s">
        <v>271</v>
      </c>
      <c r="C191" s="25">
        <v>4260.59</v>
      </c>
      <c r="D191" s="26">
        <v>0.88139999999999996</v>
      </c>
      <c r="E191" s="110">
        <v>4345.8</v>
      </c>
      <c r="F191" s="25"/>
      <c r="G191" s="74"/>
    </row>
    <row r="192" spans="2:7" x14ac:dyDescent="0.35">
      <c r="B192" s="9" t="s">
        <v>272</v>
      </c>
      <c r="C192" s="25">
        <v>4519.37</v>
      </c>
      <c r="D192" s="26">
        <v>0.88139999999999996</v>
      </c>
      <c r="E192" s="110">
        <v>4609.76</v>
      </c>
      <c r="F192" s="25"/>
      <c r="G192" s="74"/>
    </row>
    <row r="193" spans="2:7" x14ac:dyDescent="0.35">
      <c r="B193" s="9" t="s">
        <v>273</v>
      </c>
      <c r="C193" s="25">
        <v>3206.28</v>
      </c>
      <c r="D193" s="26">
        <v>0.88139999999999996</v>
      </c>
      <c r="E193" s="110">
        <v>3270.41</v>
      </c>
      <c r="F193" s="25"/>
      <c r="G193" s="74"/>
    </row>
    <row r="194" spans="2:7" x14ac:dyDescent="0.35">
      <c r="B194" s="9" t="s">
        <v>274</v>
      </c>
      <c r="C194" s="25">
        <v>3478.25</v>
      </c>
      <c r="D194" s="26">
        <v>0.88139999999999996</v>
      </c>
      <c r="E194" s="110">
        <v>3547.82</v>
      </c>
      <c r="F194" s="25"/>
      <c r="G194" s="74"/>
    </row>
    <row r="195" spans="2:7" x14ac:dyDescent="0.35">
      <c r="B195" s="9" t="s">
        <v>275</v>
      </c>
      <c r="C195" s="25">
        <v>3675.21</v>
      </c>
      <c r="D195" s="26">
        <v>0.88139999999999996</v>
      </c>
      <c r="E195" s="110">
        <v>3748.71</v>
      </c>
      <c r="F195" s="25"/>
      <c r="G195" s="74"/>
    </row>
    <row r="196" spans="2:7" x14ac:dyDescent="0.35">
      <c r="B196" s="9" t="s">
        <v>276</v>
      </c>
      <c r="C196" s="25">
        <v>3812.51</v>
      </c>
      <c r="D196" s="26">
        <v>0.88139999999999996</v>
      </c>
      <c r="E196" s="110">
        <v>3888.76</v>
      </c>
      <c r="F196" s="25"/>
      <c r="G196" s="74"/>
    </row>
    <row r="197" spans="2:7" x14ac:dyDescent="0.35">
      <c r="B197" s="9" t="s">
        <v>277</v>
      </c>
      <c r="C197" s="25">
        <v>3942.62</v>
      </c>
      <c r="D197" s="26">
        <v>0.88139999999999996</v>
      </c>
      <c r="E197" s="110">
        <v>4021.47</v>
      </c>
      <c r="F197" s="25"/>
      <c r="G197" s="74"/>
    </row>
    <row r="198" spans="2:7" x14ac:dyDescent="0.35">
      <c r="B198" s="9" t="s">
        <v>278</v>
      </c>
      <c r="C198" s="25">
        <v>4145.2700000000004</v>
      </c>
      <c r="D198" s="26">
        <v>0.88139999999999996</v>
      </c>
      <c r="E198" s="110">
        <v>4228.18</v>
      </c>
      <c r="F198" s="25"/>
      <c r="G198" s="74"/>
    </row>
    <row r="199" spans="2:7" x14ac:dyDescent="0.35">
      <c r="B199" s="9" t="s">
        <v>279</v>
      </c>
      <c r="C199" s="25">
        <v>3019.44</v>
      </c>
      <c r="D199" s="26">
        <v>0.87429999999999997</v>
      </c>
      <c r="E199" s="110">
        <v>3079.83</v>
      </c>
      <c r="F199" s="25"/>
      <c r="G199" s="74"/>
    </row>
    <row r="200" spans="2:7" x14ac:dyDescent="0.35">
      <c r="B200" s="9" t="s">
        <v>280</v>
      </c>
      <c r="C200" s="25">
        <v>3291.26</v>
      </c>
      <c r="D200" s="26">
        <v>0.87429999999999997</v>
      </c>
      <c r="E200" s="110">
        <v>3357.09</v>
      </c>
      <c r="F200" s="25"/>
      <c r="G200" s="74"/>
    </row>
    <row r="201" spans="2:7" x14ac:dyDescent="0.35">
      <c r="B201" s="9" t="s">
        <v>281</v>
      </c>
      <c r="C201" s="25">
        <v>3480.36</v>
      </c>
      <c r="D201" s="26">
        <v>0.87429999999999997</v>
      </c>
      <c r="E201" s="110">
        <v>3549.97</v>
      </c>
      <c r="F201" s="25"/>
      <c r="G201" s="74"/>
    </row>
    <row r="202" spans="2:7" x14ac:dyDescent="0.35">
      <c r="B202" s="9" t="s">
        <v>282</v>
      </c>
      <c r="C202" s="25">
        <v>3654.01</v>
      </c>
      <c r="D202" s="26">
        <v>0.87429999999999997</v>
      </c>
      <c r="E202" s="110">
        <v>3727.09</v>
      </c>
      <c r="F202" s="25"/>
      <c r="G202" s="74"/>
    </row>
    <row r="203" spans="2:7" x14ac:dyDescent="0.35">
      <c r="B203" s="9" t="s">
        <v>283</v>
      </c>
      <c r="C203" s="25">
        <v>3735.19</v>
      </c>
      <c r="D203" s="26">
        <v>0.87429999999999997</v>
      </c>
      <c r="E203" s="110">
        <v>3809.89</v>
      </c>
      <c r="F203" s="25"/>
      <c r="G203" s="74"/>
    </row>
    <row r="204" spans="2:7" x14ac:dyDescent="0.35">
      <c r="B204" s="9" t="s">
        <v>284</v>
      </c>
      <c r="C204" s="25">
        <v>3832.75</v>
      </c>
      <c r="D204" s="26">
        <v>0.87429999999999997</v>
      </c>
      <c r="E204" s="110">
        <v>3909.41</v>
      </c>
      <c r="F204" s="25"/>
      <c r="G204" s="74"/>
    </row>
    <row r="205" spans="2:7" x14ac:dyDescent="0.35">
      <c r="B205" s="9" t="s">
        <v>285</v>
      </c>
      <c r="C205" s="25">
        <v>2915.57</v>
      </c>
      <c r="D205" s="26">
        <v>0.87429999999999997</v>
      </c>
      <c r="E205" s="110">
        <v>2973.88</v>
      </c>
      <c r="F205" s="25"/>
      <c r="G205" s="74"/>
    </row>
    <row r="206" spans="2:7" x14ac:dyDescent="0.35">
      <c r="B206" s="9" t="s">
        <v>286</v>
      </c>
      <c r="C206" s="25">
        <v>3140.47</v>
      </c>
      <c r="D206" s="26">
        <v>0.87429999999999997</v>
      </c>
      <c r="E206" s="110">
        <v>3203.28</v>
      </c>
      <c r="F206" s="25"/>
      <c r="G206" s="74"/>
    </row>
    <row r="207" spans="2:7" x14ac:dyDescent="0.35">
      <c r="B207" s="9" t="s">
        <v>287</v>
      </c>
      <c r="C207" s="25">
        <v>3205.03</v>
      </c>
      <c r="D207" s="26">
        <v>0.87429999999999997</v>
      </c>
      <c r="E207" s="110">
        <v>3269.13</v>
      </c>
      <c r="F207" s="25"/>
      <c r="G207" s="74"/>
    </row>
    <row r="208" spans="2:7" x14ac:dyDescent="0.35">
      <c r="B208" s="9" t="s">
        <v>288</v>
      </c>
      <c r="C208" s="25">
        <v>3308.32</v>
      </c>
      <c r="D208" s="26">
        <v>0.87429999999999997</v>
      </c>
      <c r="E208" s="110">
        <v>3374.49</v>
      </c>
      <c r="F208" s="25"/>
      <c r="G208" s="74"/>
    </row>
    <row r="209" spans="2:7" x14ac:dyDescent="0.35">
      <c r="B209" s="9" t="s">
        <v>289</v>
      </c>
      <c r="C209" s="25">
        <v>3392.25</v>
      </c>
      <c r="D209" s="26">
        <v>0.87429999999999997</v>
      </c>
      <c r="E209" s="110">
        <v>3460.1</v>
      </c>
      <c r="F209" s="25"/>
      <c r="G209" s="74"/>
    </row>
    <row r="210" spans="2:7" x14ac:dyDescent="0.35">
      <c r="B210" s="9" t="s">
        <v>290</v>
      </c>
      <c r="C210" s="25">
        <v>3463.27</v>
      </c>
      <c r="D210" s="26">
        <v>0.87429999999999997</v>
      </c>
      <c r="E210" s="110">
        <v>3532.54</v>
      </c>
      <c r="F210" s="25"/>
      <c r="G210" s="74"/>
    </row>
    <row r="211" spans="2:7" x14ac:dyDescent="0.35">
      <c r="F211" s="25"/>
    </row>
    <row r="212" spans="2:7" x14ac:dyDescent="0.35">
      <c r="F212" s="25"/>
    </row>
    <row r="213" spans="2:7" x14ac:dyDescent="0.35">
      <c r="F213" s="25"/>
    </row>
    <row r="214" spans="2:7" x14ac:dyDescent="0.35">
      <c r="F214" s="25"/>
    </row>
    <row r="215" spans="2:7" x14ac:dyDescent="0.35">
      <c r="F215" s="25"/>
    </row>
    <row r="216" spans="2:7" x14ac:dyDescent="0.35">
      <c r="F216" s="25"/>
    </row>
    <row r="217" spans="2:7" x14ac:dyDescent="0.35">
      <c r="F217" s="25"/>
    </row>
    <row r="218" spans="2:7" x14ac:dyDescent="0.35">
      <c r="F218" s="25"/>
    </row>
    <row r="219" spans="2:7" x14ac:dyDescent="0.35">
      <c r="F219" s="25"/>
    </row>
    <row r="220" spans="2:7" x14ac:dyDescent="0.35">
      <c r="F220" s="25"/>
    </row>
    <row r="221" spans="2:7" x14ac:dyDescent="0.35">
      <c r="F221" s="25"/>
    </row>
    <row r="222" spans="2:7" x14ac:dyDescent="0.35">
      <c r="F222" s="25"/>
    </row>
    <row r="223" spans="2:7" x14ac:dyDescent="0.35">
      <c r="F223" s="25"/>
    </row>
    <row r="224" spans="2:7" x14ac:dyDescent="0.35">
      <c r="F224" s="25"/>
    </row>
    <row r="225" spans="6:6" x14ac:dyDescent="0.35">
      <c r="F225" s="25"/>
    </row>
    <row r="226" spans="6:6" x14ac:dyDescent="0.35">
      <c r="F226" s="25"/>
    </row>
    <row r="227" spans="6:6" x14ac:dyDescent="0.35">
      <c r="F227" s="25"/>
    </row>
    <row r="228" spans="6:6" x14ac:dyDescent="0.35">
      <c r="F228" s="25"/>
    </row>
    <row r="229" spans="6:6" x14ac:dyDescent="0.35">
      <c r="F229" s="25"/>
    </row>
    <row r="230" spans="6:6" x14ac:dyDescent="0.35">
      <c r="F230" s="25"/>
    </row>
    <row r="231" spans="6:6" x14ac:dyDescent="0.35">
      <c r="F231" s="25"/>
    </row>
    <row r="232" spans="6:6" x14ac:dyDescent="0.35">
      <c r="F232" s="25"/>
    </row>
    <row r="233" spans="6:6" x14ac:dyDescent="0.35">
      <c r="F233" s="25"/>
    </row>
    <row r="234" spans="6:6" x14ac:dyDescent="0.35">
      <c r="F234" s="25"/>
    </row>
    <row r="235" spans="6:6" x14ac:dyDescent="0.35">
      <c r="F235" s="25"/>
    </row>
    <row r="236" spans="6:6" x14ac:dyDescent="0.35">
      <c r="F236" s="25"/>
    </row>
    <row r="237" spans="6:6" x14ac:dyDescent="0.35">
      <c r="F237" s="25"/>
    </row>
    <row r="238" spans="6:6" x14ac:dyDescent="0.35">
      <c r="F238" s="25"/>
    </row>
    <row r="239" spans="6:6" x14ac:dyDescent="0.35">
      <c r="F239" s="25"/>
    </row>
    <row r="240" spans="6:6" x14ac:dyDescent="0.35">
      <c r="F240" s="25"/>
    </row>
    <row r="241" spans="6:6" x14ac:dyDescent="0.35">
      <c r="F241" s="25"/>
    </row>
    <row r="242" spans="6:6" x14ac:dyDescent="0.35">
      <c r="F242" s="25"/>
    </row>
    <row r="243" spans="6:6" x14ac:dyDescent="0.35">
      <c r="F243" s="25"/>
    </row>
    <row r="244" spans="6:6" x14ac:dyDescent="0.35">
      <c r="F244" s="25"/>
    </row>
    <row r="245" spans="6:6" x14ac:dyDescent="0.35">
      <c r="F245" s="25"/>
    </row>
    <row r="246" spans="6:6" x14ac:dyDescent="0.35">
      <c r="F246" s="25"/>
    </row>
    <row r="247" spans="6:6" x14ac:dyDescent="0.35">
      <c r="F247" s="25"/>
    </row>
    <row r="248" spans="6:6" x14ac:dyDescent="0.35">
      <c r="F248" s="25"/>
    </row>
    <row r="249" spans="6:6" x14ac:dyDescent="0.35">
      <c r="F249" s="25"/>
    </row>
    <row r="250" spans="6:6" x14ac:dyDescent="0.35">
      <c r="F250" s="25"/>
    </row>
    <row r="251" spans="6:6" x14ac:dyDescent="0.35">
      <c r="F251" s="25"/>
    </row>
    <row r="252" spans="6:6" x14ac:dyDescent="0.35">
      <c r="F252" s="25"/>
    </row>
    <row r="253" spans="6:6" x14ac:dyDescent="0.35">
      <c r="F253" s="25"/>
    </row>
    <row r="254" spans="6:6" x14ac:dyDescent="0.35">
      <c r="F254" s="25"/>
    </row>
    <row r="255" spans="6:6" x14ac:dyDescent="0.35">
      <c r="F255" s="25"/>
    </row>
    <row r="256" spans="6:6" x14ac:dyDescent="0.35">
      <c r="F256" s="25"/>
    </row>
    <row r="257" spans="6:6" x14ac:dyDescent="0.35">
      <c r="F257" s="25"/>
    </row>
    <row r="258" spans="6:6" x14ac:dyDescent="0.35">
      <c r="F258" s="25"/>
    </row>
    <row r="259" spans="6:6" x14ac:dyDescent="0.35">
      <c r="F259" s="25"/>
    </row>
    <row r="260" spans="6:6" x14ac:dyDescent="0.35">
      <c r="F260" s="25"/>
    </row>
    <row r="261" spans="6:6" x14ac:dyDescent="0.35">
      <c r="F261" s="25"/>
    </row>
    <row r="262" spans="6:6" x14ac:dyDescent="0.35">
      <c r="F262" s="25"/>
    </row>
    <row r="263" spans="6:6" x14ac:dyDescent="0.35">
      <c r="F263" s="25"/>
    </row>
    <row r="264" spans="6:6" x14ac:dyDescent="0.35">
      <c r="F264" s="25"/>
    </row>
    <row r="265" spans="6:6" x14ac:dyDescent="0.35">
      <c r="F265" s="25"/>
    </row>
    <row r="266" spans="6:6" x14ac:dyDescent="0.35">
      <c r="F266" s="25"/>
    </row>
    <row r="267" spans="6:6" x14ac:dyDescent="0.35">
      <c r="F267" s="25"/>
    </row>
    <row r="268" spans="6:6" x14ac:dyDescent="0.35">
      <c r="F268" s="25"/>
    </row>
  </sheetData>
  <sheetProtection formatCells="0" formatColumns="0" formatRows="0" selectLockedCells="1"/>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6268C01439E9DA45AE87324162961E7A" ma:contentTypeVersion="22" ma:contentTypeDescription="Ein neues Dokument erstellen." ma:contentTypeScope="" ma:versionID="0af40c508247dd1ef7f958c22b7b5cb0">
  <xsd:schema xmlns:xsd="http://www.w3.org/2001/XMLSchema" xmlns:xs="http://www.w3.org/2001/XMLSchema" xmlns:p="http://schemas.microsoft.com/office/2006/metadata/properties" xmlns:ns2="127df94e-cc16-4792-a755-db85c616eb04" xmlns:ns3="587bec5e-9a3f-4abc-b917-06c84a381d30" targetNamespace="http://schemas.microsoft.com/office/2006/metadata/properties" ma:root="true" ma:fieldsID="4819763f56111f64708a177bc54be451" ns2:_="" ns3:_="">
    <xsd:import namespace="127df94e-cc16-4792-a755-db85c616eb04"/>
    <xsd:import namespace="587bec5e-9a3f-4abc-b917-06c84a381d3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_Flow_SignoffStatus" minOccurs="0"/>
                <xsd:element ref="ns2:_x00c4_nderungen" minOccurs="0"/>
                <xsd:element ref="ns2:_ApprovalAssignedTo" minOccurs="0"/>
                <xsd:element ref="ns2:_ApprovalRespondedBy" minOccurs="0"/>
                <xsd:element ref="ns2:_ApprovalSentBy" minOccurs="0"/>
                <xsd:element ref="ns2:_Approval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7df94e-cc16-4792-a755-db85c616eb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Bildmarkierungen" ma:readOnly="false" ma:fieldId="{5cf76f15-5ced-4ddc-b409-7134ff3c332f}" ma:taxonomyMulti="true" ma:sspId="7bfb1ba3-f571-42e3-84de-9b622d7681b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_Flow_SignoffStatus" ma:index="24" nillable="true" ma:displayName="Status Unterschrift" ma:internalName="_x0024_Resources_x003a_core_x002c_Signoff_Status">
      <xsd:simpleType>
        <xsd:restriction base="dms:Text"/>
      </xsd:simpleType>
    </xsd:element>
    <xsd:element name="_x00c4_nderungen" ma:index="25" nillable="true" ma:displayName="Änderungen" ma:description="Was wurde im Formular verändert?" ma:format="Dropdown" ma:internalName="_x00c4_nderungen">
      <xsd:simpleType>
        <xsd:restriction base="dms:Note">
          <xsd:maxLength value="255"/>
        </xsd:restriction>
      </xsd:simpleType>
    </xsd:element>
    <xsd:element name="_ApprovalAssignedTo" ma:index="26" nillable="true" ma:displayName="Genehmigende Personen" ma:list="UserInfo" ma:internalName="_ApprovalAssignedTo"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RespondedBy" ma:index="27" nillable="true" ma:displayName="Antworten" ma:list="UserInfo" ma:internalName="_ApprovalRespondedBy"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entBy" ma:index="28" nillable="true" ma:displayName="Genehmigungsersteller" ma:list="UserInfo" ma:internalName="_ApprovalSent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tatus" ma:index="29" nillable="true" ma:displayName="Genehmigungsstatus" ma:internalName="_Approval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87bec5e-9a3f-4abc-b917-06c84a381d30" elementFormDefault="qualified">
    <xsd:import namespace="http://schemas.microsoft.com/office/2006/documentManagement/types"/>
    <xsd:import namespace="http://schemas.microsoft.com/office/infopath/2007/PartnerControls"/>
    <xsd:element name="SharedWithUsers" ma:index="17"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Freigegeben für - Details" ma:internalName="SharedWithDetails" ma:readOnly="true">
      <xsd:simpleType>
        <xsd:restriction base="dms:Note">
          <xsd:maxLength value="255"/>
        </xsd:restriction>
      </xsd:simpleType>
    </xsd:element>
    <xsd:element name="TaxCatchAll" ma:index="21" nillable="true" ma:displayName="Taxonomy Catch All Column" ma:hidden="true" ma:list="{d630d21d-b931-4f73-92aa-4f0c40e3eedd}" ma:internalName="TaxCatchAll" ma:showField="CatchAllData" ma:web="587bec5e-9a3f-4abc-b917-06c84a381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587bec5e-9a3f-4abc-b917-06c84a381d30">
      <UserInfo>
        <DisplayName/>
        <AccountId xsi:nil="true"/>
        <AccountType/>
      </UserInfo>
    </SharedWithUsers>
    <TaxCatchAll xmlns="587bec5e-9a3f-4abc-b917-06c84a381d30" xsi:nil="true"/>
    <lcf76f155ced4ddcb4097134ff3c332f xmlns="127df94e-cc16-4792-a755-db85c616eb04">
      <Terms xmlns="http://schemas.microsoft.com/office/infopath/2007/PartnerControls"/>
    </lcf76f155ced4ddcb4097134ff3c332f>
    <_Flow_SignoffStatus xmlns="127df94e-cc16-4792-a755-db85c616eb04">Genehmigt</_Flow_SignoffStatus>
    <_x00c4_nderungen xmlns="127df94e-cc16-4792-a755-db85c616eb04">Die VWL-Zahlung wird mit ins Einkommen einberechnet, das Feld Besitzstand/Zulagen Spalte TVL wurde entsperrt und eine neue Zeile für Zulagen TVL-S eingefügt.</_x00c4_nderungen>
    <_ApprovalAssignedTo xmlns="127df94e-cc16-4792-a755-db85c616eb04">
      <UserInfo>
        <DisplayName>i:0#.f|membership|e.grohmann@ziz-berlin.de</DisplayName>
        <AccountId>14</AccountId>
        <AccountType/>
      </UserInfo>
    </_ApprovalAssignedTo>
    <_ApprovalSentBy xmlns="127df94e-cc16-4792-a755-db85c616eb04">
      <UserInfo>
        <DisplayName>Seydel, Angelika</DisplayName>
        <AccountId>82</AccountId>
        <AccountType/>
      </UserInfo>
    </_ApprovalSentBy>
    <_ApprovalStatus xmlns="127df94e-cc16-4792-a755-db85c616eb04">3</_ApprovalStatus>
    <_ApprovalRespondedBy xmlns="127df94e-cc16-4792-a755-db85c616eb04">
      <UserInfo>
        <DisplayName>i:0#.f|membership|e.grohmann@ziz-berlin.de</DisplayName>
        <AccountId>14</AccountId>
        <AccountType/>
      </UserInfo>
    </_ApprovalRespondedBy>
  </documentManagement>
</p:properties>
</file>

<file path=customXml/itemProps1.xml><?xml version="1.0" encoding="utf-8"?>
<ds:datastoreItem xmlns:ds="http://schemas.openxmlformats.org/officeDocument/2006/customXml" ds:itemID="{9E90E673-420B-4401-A83C-5CBACD6FE0E4}">
  <ds:schemaRefs>
    <ds:schemaRef ds:uri="http://schemas.microsoft.com/sharepoint/v3/contenttype/forms"/>
  </ds:schemaRefs>
</ds:datastoreItem>
</file>

<file path=customXml/itemProps2.xml><?xml version="1.0" encoding="utf-8"?>
<ds:datastoreItem xmlns:ds="http://schemas.openxmlformats.org/officeDocument/2006/customXml" ds:itemID="{93DCE531-C777-4348-9F0A-B99C321E9B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7df94e-cc16-4792-a755-db85c616eb04"/>
    <ds:schemaRef ds:uri="587bec5e-9a3f-4abc-b917-06c84a381d3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DE658DA-73B7-4EB9-9A54-AA55CEADDC47}">
  <ds:schemaRefs>
    <ds:schemaRef ds:uri="http://schemas.microsoft.com/office/2006/metadata/properties"/>
    <ds:schemaRef ds:uri="http://schemas.microsoft.com/office/infopath/2007/PartnerControls"/>
    <ds:schemaRef ds:uri="587bec5e-9a3f-4abc-b917-06c84a381d30"/>
    <ds:schemaRef ds:uri="127df94e-cc16-4792-a755-db85c616eb04"/>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1</vt:i4>
      </vt:variant>
    </vt:vector>
  </HeadingPairs>
  <TitlesOfParts>
    <vt:vector size="5" baseType="lpstr">
      <vt:lpstr>Anleitung zum Ausfüllen</vt:lpstr>
      <vt:lpstr>Nachweis f. Tätigkeit aus Vorb.</vt:lpstr>
      <vt:lpstr>Vergleichsberechnung</vt:lpstr>
      <vt:lpstr>Werte</vt:lpstr>
      <vt:lpstr>'Anleitung zum Ausfüllen'!Druckbereich</vt:lpstr>
    </vt:vector>
  </TitlesOfParts>
  <Manager/>
  <Company>zukunft im zentrum GmbH</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Vergleichsberechnung TV-L 2021</dc:title>
  <dc:subject>Vergleichsberechnung TV-L 2019</dc:subject>
  <dc:creator>Seydel, Angelika</dc:creator>
  <cp:keywords/>
  <dc:description/>
  <cp:lastModifiedBy>Seydel, Angelika</cp:lastModifiedBy>
  <cp:revision/>
  <cp:lastPrinted>2026-08-10T09:23:53Z</cp:lastPrinted>
  <dcterms:created xsi:type="dcterms:W3CDTF">2019-05-21T14:23:04Z</dcterms:created>
  <dcterms:modified xsi:type="dcterms:W3CDTF">2026-08-10T09:37:28Z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0x0101006268C01439E9DA45AE87324162961E7A</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xd_Signature">
    <vt:bool>false</vt:bool>
  </property>
  <property fmtid="{D5CDD505-2E9C-101B-9397-08002B2CF9AE}" pid="9" name="Order">
    <vt:r8>223600</vt:r8>
  </property>
  <property fmtid="{D5CDD505-2E9C-101B-9397-08002B2CF9AE}" pid="10" name="MediaServiceImageTags">
    <vt:lpwstr/>
  </property>
  <property fmtid="{D5CDD505-2E9C-101B-9397-08002B2CF9AE}" pid="11" name="_MarkAsFinal">
    <vt:bool>true</vt:bool>
  </property>
</Properties>
</file>