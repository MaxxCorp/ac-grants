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C:\Users\RWendl.BALL\Desktop\"/>
    </mc:Choice>
  </mc:AlternateContent>
  <xr:revisionPtr revIDLastSave="743" documentId="11_59481D31C08C01BAC6F854065D31A51545686A76" xr6:coauthVersionLast="47" xr6:coauthVersionMax="47" xr10:uidLastSave="{27AB1C11-F3CC-4BA2-9D24-5452E32D51A2}"/>
  <bookViews>
    <workbookView xWindow="0" yWindow="0" windowWidth="28800" windowHeight="11700" xr2:uid="{00000000-000D-0000-FFFF-FFFF00000000}"/>
  </bookViews>
  <sheets>
    <sheet name="Gehalt" sheetId="1" r:id="rId1"/>
    <sheet name="AG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H44" i="1"/>
  <c r="I44" i="1"/>
  <c r="K44" i="1"/>
  <c r="O44" i="1"/>
  <c r="U44" i="1"/>
  <c r="V44" i="1"/>
  <c r="W44" i="1"/>
  <c r="X44" i="1"/>
  <c r="Y44" i="1"/>
  <c r="Z44" i="1"/>
  <c r="T18" i="1"/>
  <c r="S18" i="1"/>
  <c r="R18" i="1"/>
  <c r="Q18" i="1"/>
  <c r="P18" i="1"/>
  <c r="L16" i="1"/>
  <c r="Z15" i="1"/>
  <c r="G15" i="1"/>
  <c r="Z14" i="1"/>
  <c r="G14" i="1"/>
  <c r="Z13" i="1"/>
  <c r="G13" i="1"/>
  <c r="Z12" i="1"/>
  <c r="M12" i="1"/>
  <c r="G12" i="1"/>
  <c r="Z11" i="1"/>
  <c r="G11" i="1"/>
  <c r="Z10" i="1"/>
  <c r="G10" i="1"/>
  <c r="Z9" i="1"/>
  <c r="M9" i="1"/>
  <c r="G9" i="1"/>
  <c r="Z8" i="1"/>
  <c r="G8" i="1"/>
  <c r="Z7" i="1"/>
  <c r="G7" i="1"/>
  <c r="Z6" i="1"/>
  <c r="M6" i="1"/>
  <c r="G6" i="1"/>
  <c r="Z5" i="1"/>
  <c r="G5" i="1"/>
  <c r="Z4" i="1"/>
  <c r="Z18" i="1" s="1"/>
  <c r="G4" i="1"/>
  <c r="P63" i="1"/>
  <c r="Q63" i="1"/>
  <c r="R63" i="1"/>
  <c r="S63" i="1"/>
  <c r="T63" i="1"/>
  <c r="L76" i="1"/>
  <c r="T48" i="1"/>
  <c r="S48" i="1"/>
  <c r="R48" i="1"/>
  <c r="Q48" i="1"/>
  <c r="P48" i="1"/>
  <c r="L46" i="1"/>
  <c r="Z45" i="1"/>
  <c r="G45" i="1"/>
  <c r="Z43" i="1"/>
  <c r="G43" i="1"/>
  <c r="Z42" i="1"/>
  <c r="M42" i="1"/>
  <c r="G42" i="1"/>
  <c r="Z41" i="1"/>
  <c r="G41" i="1"/>
  <c r="Z40" i="1"/>
  <c r="G40" i="1"/>
  <c r="Z39" i="1"/>
  <c r="M39" i="1"/>
  <c r="G39" i="1"/>
  <c r="Z38" i="1"/>
  <c r="G38" i="1"/>
  <c r="Z37" i="1"/>
  <c r="G37" i="1"/>
  <c r="Z36" i="1"/>
  <c r="M36" i="1"/>
  <c r="G36" i="1"/>
  <c r="Z35" i="1"/>
  <c r="G35" i="1"/>
  <c r="Z34" i="1"/>
  <c r="Z48" i="1" s="1"/>
  <c r="Z95" i="1" s="1"/>
  <c r="G34" i="1"/>
  <c r="T33" i="1"/>
  <c r="S33" i="1"/>
  <c r="R33" i="1"/>
  <c r="Q33" i="1"/>
  <c r="P33" i="1"/>
  <c r="L31" i="1"/>
  <c r="Z30" i="1"/>
  <c r="G30" i="1"/>
  <c r="Z29" i="1"/>
  <c r="G29" i="1"/>
  <c r="Z28" i="1"/>
  <c r="G28" i="1"/>
  <c r="Z27" i="1"/>
  <c r="M27" i="1"/>
  <c r="G27" i="1"/>
  <c r="Z26" i="1"/>
  <c r="G26" i="1"/>
  <c r="Z25" i="1"/>
  <c r="G25" i="1"/>
  <c r="Z24" i="1"/>
  <c r="M24" i="1"/>
  <c r="G24" i="1"/>
  <c r="Z23" i="1"/>
  <c r="G23" i="1"/>
  <c r="Z22" i="1"/>
  <c r="G22" i="1"/>
  <c r="Z21" i="1"/>
  <c r="M21" i="1"/>
  <c r="G21" i="1"/>
  <c r="Z20" i="1"/>
  <c r="G20" i="1"/>
  <c r="Z19" i="1"/>
  <c r="Z33" i="1" s="1"/>
  <c r="G19" i="1"/>
  <c r="G64" i="1"/>
  <c r="H64" i="1"/>
  <c r="I64" i="1"/>
  <c r="K64" i="1"/>
  <c r="O64" i="1"/>
  <c r="U64" i="1"/>
  <c r="V64" i="1"/>
  <c r="W64" i="1"/>
  <c r="X64" i="1"/>
  <c r="Y64" i="1"/>
  <c r="Z64" i="1"/>
  <c r="G65" i="1"/>
  <c r="H65" i="1"/>
  <c r="I65" i="1"/>
  <c r="K65" i="1"/>
  <c r="O65" i="1"/>
  <c r="U65" i="1"/>
  <c r="V65" i="1"/>
  <c r="W65" i="1"/>
  <c r="X65" i="1"/>
  <c r="Y65" i="1"/>
  <c r="Z65" i="1"/>
  <c r="G66" i="1"/>
  <c r="H66" i="1"/>
  <c r="I66" i="1"/>
  <c r="K66" i="1"/>
  <c r="O66" i="1"/>
  <c r="U66" i="1"/>
  <c r="V66" i="1"/>
  <c r="W66" i="1"/>
  <c r="X66" i="1"/>
  <c r="Y66" i="1"/>
  <c r="Z66" i="1"/>
  <c r="G67" i="1"/>
  <c r="H67" i="1"/>
  <c r="I67" i="1"/>
  <c r="K67" i="1"/>
  <c r="O67" i="1"/>
  <c r="U67" i="1"/>
  <c r="V67" i="1"/>
  <c r="W67" i="1"/>
  <c r="X67" i="1"/>
  <c r="Y67" i="1"/>
  <c r="Z67" i="1"/>
  <c r="G68" i="1"/>
  <c r="H68" i="1"/>
  <c r="I68" i="1"/>
  <c r="K68" i="1"/>
  <c r="O68" i="1"/>
  <c r="U68" i="1"/>
  <c r="V68" i="1"/>
  <c r="W68" i="1"/>
  <c r="X68" i="1"/>
  <c r="Y68" i="1"/>
  <c r="Z68" i="1"/>
  <c r="L61" i="1"/>
  <c r="Z60" i="1"/>
  <c r="G60" i="1"/>
  <c r="Z59" i="1"/>
  <c r="G59" i="1"/>
  <c r="Z58" i="1"/>
  <c r="G58" i="1"/>
  <c r="Z57" i="1"/>
  <c r="M57" i="1"/>
  <c r="G57" i="1"/>
  <c r="Z56" i="1"/>
  <c r="G56" i="1"/>
  <c r="Z55" i="1"/>
  <c r="G55" i="1"/>
  <c r="Z54" i="1"/>
  <c r="M54" i="1"/>
  <c r="G54" i="1"/>
  <c r="Z53" i="1"/>
  <c r="G53" i="1"/>
  <c r="Z52" i="1"/>
  <c r="G52" i="1"/>
  <c r="Z51" i="1"/>
  <c r="M51" i="1"/>
  <c r="G51" i="1"/>
  <c r="Z50" i="1"/>
  <c r="G50" i="1"/>
  <c r="Z49" i="1"/>
  <c r="Z63" i="1" s="1"/>
  <c r="Z96" i="1" s="1"/>
  <c r="G49" i="1"/>
  <c r="G69" i="1"/>
  <c r="H69" i="1"/>
  <c r="I69" i="1"/>
  <c r="K69" i="1"/>
  <c r="O69" i="1"/>
  <c r="U69" i="1"/>
  <c r="V69" i="1"/>
  <c r="W69" i="1"/>
  <c r="X69" i="1"/>
  <c r="Y69" i="1"/>
  <c r="Z69" i="1"/>
  <c r="G70" i="1"/>
  <c r="H70" i="1"/>
  <c r="I70" i="1"/>
  <c r="K70" i="1"/>
  <c r="O70" i="1"/>
  <c r="U70" i="1"/>
  <c r="V70" i="1"/>
  <c r="W70" i="1"/>
  <c r="X70" i="1"/>
  <c r="Y70" i="1"/>
  <c r="Z70" i="1"/>
  <c r="M85" i="1"/>
  <c r="M72" i="1"/>
  <c r="L91" i="1"/>
  <c r="O4" i="1" l="1"/>
  <c r="H4" i="1"/>
  <c r="I4" i="1" s="1"/>
  <c r="K4" i="1" s="1"/>
  <c r="W4" i="1" s="1"/>
  <c r="O5" i="1"/>
  <c r="U5" i="1" s="1"/>
  <c r="V5" i="1" s="1"/>
  <c r="H5" i="1"/>
  <c r="I5" i="1" s="1"/>
  <c r="K5" i="1" s="1"/>
  <c r="W5" i="1" s="1"/>
  <c r="O6" i="1"/>
  <c r="U6" i="1" s="1"/>
  <c r="V6" i="1" s="1"/>
  <c r="H6" i="1"/>
  <c r="I6" i="1" s="1"/>
  <c r="K6" i="1" s="1"/>
  <c r="W6" i="1" s="1"/>
  <c r="O7" i="1"/>
  <c r="U7" i="1" s="1"/>
  <c r="V7" i="1" s="1"/>
  <c r="H7" i="1"/>
  <c r="I7" i="1" s="1"/>
  <c r="K7" i="1" s="1"/>
  <c r="W7" i="1" s="1"/>
  <c r="O8" i="1"/>
  <c r="U8" i="1" s="1"/>
  <c r="V8" i="1" s="1"/>
  <c r="H8" i="1"/>
  <c r="I8" i="1" s="1"/>
  <c r="K8" i="1" s="1"/>
  <c r="W8" i="1" s="1"/>
  <c r="O9" i="1"/>
  <c r="U9" i="1" s="1"/>
  <c r="V9" i="1" s="1"/>
  <c r="H9" i="1"/>
  <c r="I9" i="1" s="1"/>
  <c r="K9" i="1" s="1"/>
  <c r="W9" i="1" s="1"/>
  <c r="O10" i="1"/>
  <c r="U10" i="1" s="1"/>
  <c r="V10" i="1" s="1"/>
  <c r="H10" i="1"/>
  <c r="I10" i="1" s="1"/>
  <c r="K10" i="1" s="1"/>
  <c r="W10" i="1" s="1"/>
  <c r="O11" i="1"/>
  <c r="U11" i="1" s="1"/>
  <c r="V11" i="1" s="1"/>
  <c r="H11" i="1"/>
  <c r="I11" i="1" s="1"/>
  <c r="K11" i="1" s="1"/>
  <c r="W11" i="1" s="1"/>
  <c r="O12" i="1"/>
  <c r="U12" i="1" s="1"/>
  <c r="V12" i="1" s="1"/>
  <c r="H12" i="1"/>
  <c r="I12" i="1" s="1"/>
  <c r="K12" i="1" s="1"/>
  <c r="W12" i="1" s="1"/>
  <c r="O13" i="1"/>
  <c r="U13" i="1" s="1"/>
  <c r="V13" i="1" s="1"/>
  <c r="H13" i="1"/>
  <c r="I13" i="1" s="1"/>
  <c r="K13" i="1" s="1"/>
  <c r="W13" i="1" s="1"/>
  <c r="O14" i="1"/>
  <c r="U14" i="1" s="1"/>
  <c r="V14" i="1" s="1"/>
  <c r="H14" i="1"/>
  <c r="I14" i="1" s="1"/>
  <c r="K14" i="1" s="1"/>
  <c r="W14" i="1" s="1"/>
  <c r="O15" i="1"/>
  <c r="U15" i="1" s="1"/>
  <c r="V15" i="1" s="1"/>
  <c r="H15" i="1"/>
  <c r="I15" i="1" s="1"/>
  <c r="K15" i="1" s="1"/>
  <c r="W15" i="1" s="1"/>
  <c r="O34" i="1"/>
  <c r="H34" i="1"/>
  <c r="I34" i="1" s="1"/>
  <c r="K34" i="1" s="1"/>
  <c r="W34" i="1" s="1"/>
  <c r="O35" i="1"/>
  <c r="U35" i="1" s="1"/>
  <c r="V35" i="1" s="1"/>
  <c r="H35" i="1"/>
  <c r="I35" i="1" s="1"/>
  <c r="K35" i="1" s="1"/>
  <c r="W35" i="1" s="1"/>
  <c r="O36" i="1"/>
  <c r="U36" i="1" s="1"/>
  <c r="V36" i="1" s="1"/>
  <c r="H36" i="1"/>
  <c r="I36" i="1" s="1"/>
  <c r="K36" i="1" s="1"/>
  <c r="W36" i="1" s="1"/>
  <c r="O37" i="1"/>
  <c r="U37" i="1" s="1"/>
  <c r="V37" i="1" s="1"/>
  <c r="H37" i="1"/>
  <c r="I37" i="1" s="1"/>
  <c r="K37" i="1" s="1"/>
  <c r="W37" i="1" s="1"/>
  <c r="O38" i="1"/>
  <c r="U38" i="1" s="1"/>
  <c r="V38" i="1" s="1"/>
  <c r="H38" i="1"/>
  <c r="I38" i="1" s="1"/>
  <c r="K38" i="1" s="1"/>
  <c r="W38" i="1" s="1"/>
  <c r="O39" i="1"/>
  <c r="U39" i="1" s="1"/>
  <c r="V39" i="1" s="1"/>
  <c r="H39" i="1"/>
  <c r="I39" i="1" s="1"/>
  <c r="K39" i="1" s="1"/>
  <c r="W39" i="1" s="1"/>
  <c r="O40" i="1"/>
  <c r="U40" i="1" s="1"/>
  <c r="V40" i="1" s="1"/>
  <c r="H40" i="1"/>
  <c r="I40" i="1" s="1"/>
  <c r="K40" i="1" s="1"/>
  <c r="W40" i="1" s="1"/>
  <c r="O41" i="1"/>
  <c r="U41" i="1" s="1"/>
  <c r="V41" i="1" s="1"/>
  <c r="H41" i="1"/>
  <c r="I41" i="1" s="1"/>
  <c r="K41" i="1" s="1"/>
  <c r="W41" i="1" s="1"/>
  <c r="O42" i="1"/>
  <c r="U42" i="1" s="1"/>
  <c r="V42" i="1" s="1"/>
  <c r="H42" i="1"/>
  <c r="I42" i="1" s="1"/>
  <c r="K42" i="1" s="1"/>
  <c r="W42" i="1" s="1"/>
  <c r="O43" i="1"/>
  <c r="U43" i="1" s="1"/>
  <c r="V43" i="1" s="1"/>
  <c r="H43" i="1"/>
  <c r="I43" i="1" s="1"/>
  <c r="K43" i="1" s="1"/>
  <c r="W43" i="1" s="1"/>
  <c r="O45" i="1"/>
  <c r="U45" i="1" s="1"/>
  <c r="V45" i="1" s="1"/>
  <c r="H45" i="1"/>
  <c r="I45" i="1" s="1"/>
  <c r="K45" i="1" s="1"/>
  <c r="W45" i="1" s="1"/>
  <c r="O19" i="1"/>
  <c r="H19" i="1"/>
  <c r="I19" i="1" s="1"/>
  <c r="K19" i="1" s="1"/>
  <c r="W19" i="1" s="1"/>
  <c r="O20" i="1"/>
  <c r="U20" i="1" s="1"/>
  <c r="V20" i="1" s="1"/>
  <c r="H20" i="1"/>
  <c r="I20" i="1" s="1"/>
  <c r="K20" i="1" s="1"/>
  <c r="W20" i="1" s="1"/>
  <c r="O21" i="1"/>
  <c r="U21" i="1" s="1"/>
  <c r="V21" i="1" s="1"/>
  <c r="H21" i="1"/>
  <c r="I21" i="1" s="1"/>
  <c r="K21" i="1" s="1"/>
  <c r="W21" i="1" s="1"/>
  <c r="O22" i="1"/>
  <c r="U22" i="1" s="1"/>
  <c r="V22" i="1" s="1"/>
  <c r="H22" i="1"/>
  <c r="I22" i="1" s="1"/>
  <c r="K22" i="1" s="1"/>
  <c r="W22" i="1" s="1"/>
  <c r="O23" i="1"/>
  <c r="U23" i="1" s="1"/>
  <c r="V23" i="1" s="1"/>
  <c r="H23" i="1"/>
  <c r="I23" i="1" s="1"/>
  <c r="K23" i="1" s="1"/>
  <c r="W23" i="1" s="1"/>
  <c r="O24" i="1"/>
  <c r="U24" i="1" s="1"/>
  <c r="V24" i="1" s="1"/>
  <c r="H24" i="1"/>
  <c r="I24" i="1" s="1"/>
  <c r="K24" i="1" s="1"/>
  <c r="W24" i="1" s="1"/>
  <c r="O25" i="1"/>
  <c r="U25" i="1" s="1"/>
  <c r="V25" i="1" s="1"/>
  <c r="H25" i="1"/>
  <c r="I25" i="1" s="1"/>
  <c r="K25" i="1" s="1"/>
  <c r="W25" i="1" s="1"/>
  <c r="O26" i="1"/>
  <c r="U26" i="1" s="1"/>
  <c r="V26" i="1" s="1"/>
  <c r="H26" i="1"/>
  <c r="I26" i="1" s="1"/>
  <c r="K26" i="1" s="1"/>
  <c r="W26" i="1" s="1"/>
  <c r="O27" i="1"/>
  <c r="U27" i="1" s="1"/>
  <c r="V27" i="1" s="1"/>
  <c r="H27" i="1"/>
  <c r="I27" i="1" s="1"/>
  <c r="K27" i="1" s="1"/>
  <c r="W27" i="1" s="1"/>
  <c r="O28" i="1"/>
  <c r="U28" i="1" s="1"/>
  <c r="V28" i="1" s="1"/>
  <c r="H28" i="1"/>
  <c r="I28" i="1" s="1"/>
  <c r="K28" i="1" s="1"/>
  <c r="W28" i="1" s="1"/>
  <c r="O29" i="1"/>
  <c r="U29" i="1" s="1"/>
  <c r="V29" i="1" s="1"/>
  <c r="H29" i="1"/>
  <c r="I29" i="1" s="1"/>
  <c r="K29" i="1" s="1"/>
  <c r="W29" i="1" s="1"/>
  <c r="O30" i="1"/>
  <c r="U30" i="1" s="1"/>
  <c r="V30" i="1" s="1"/>
  <c r="H30" i="1"/>
  <c r="I30" i="1" s="1"/>
  <c r="K30" i="1" s="1"/>
  <c r="W30" i="1" s="1"/>
  <c r="O49" i="1"/>
  <c r="H49" i="1"/>
  <c r="I49" i="1" s="1"/>
  <c r="K49" i="1" s="1"/>
  <c r="W49" i="1" s="1"/>
  <c r="O50" i="1"/>
  <c r="U50" i="1" s="1"/>
  <c r="V50" i="1" s="1"/>
  <c r="H50" i="1"/>
  <c r="I50" i="1" s="1"/>
  <c r="K50" i="1" s="1"/>
  <c r="W50" i="1" s="1"/>
  <c r="O51" i="1"/>
  <c r="U51" i="1" s="1"/>
  <c r="V51" i="1" s="1"/>
  <c r="H51" i="1"/>
  <c r="I51" i="1" s="1"/>
  <c r="K51" i="1" s="1"/>
  <c r="W51" i="1" s="1"/>
  <c r="O52" i="1"/>
  <c r="U52" i="1" s="1"/>
  <c r="V52" i="1" s="1"/>
  <c r="H52" i="1"/>
  <c r="I52" i="1" s="1"/>
  <c r="K52" i="1" s="1"/>
  <c r="W52" i="1" s="1"/>
  <c r="O53" i="1"/>
  <c r="U53" i="1" s="1"/>
  <c r="V53" i="1" s="1"/>
  <c r="H53" i="1"/>
  <c r="I53" i="1" s="1"/>
  <c r="K53" i="1" s="1"/>
  <c r="W53" i="1" s="1"/>
  <c r="O54" i="1"/>
  <c r="H54" i="1"/>
  <c r="I54" i="1" s="1"/>
  <c r="K54" i="1" s="1"/>
  <c r="W54" i="1" s="1"/>
  <c r="O55" i="1"/>
  <c r="U55" i="1" s="1"/>
  <c r="V55" i="1" s="1"/>
  <c r="H55" i="1"/>
  <c r="I55" i="1" s="1"/>
  <c r="K55" i="1" s="1"/>
  <c r="W55" i="1" s="1"/>
  <c r="O56" i="1"/>
  <c r="U56" i="1" s="1"/>
  <c r="V56" i="1" s="1"/>
  <c r="H56" i="1"/>
  <c r="I56" i="1" s="1"/>
  <c r="K56" i="1" s="1"/>
  <c r="W56" i="1" s="1"/>
  <c r="O57" i="1"/>
  <c r="U57" i="1" s="1"/>
  <c r="V57" i="1" s="1"/>
  <c r="H57" i="1"/>
  <c r="I57" i="1" s="1"/>
  <c r="K57" i="1" s="1"/>
  <c r="W57" i="1" s="1"/>
  <c r="O58" i="1"/>
  <c r="U58" i="1" s="1"/>
  <c r="V58" i="1" s="1"/>
  <c r="H58" i="1"/>
  <c r="I58" i="1" s="1"/>
  <c r="K58" i="1" s="1"/>
  <c r="W58" i="1" s="1"/>
  <c r="O59" i="1"/>
  <c r="U59" i="1" s="1"/>
  <c r="V59" i="1" s="1"/>
  <c r="H59" i="1"/>
  <c r="I59" i="1" s="1"/>
  <c r="K59" i="1" s="1"/>
  <c r="W59" i="1" s="1"/>
  <c r="O60" i="1"/>
  <c r="U60" i="1" s="1"/>
  <c r="V60" i="1" s="1"/>
  <c r="H60" i="1"/>
  <c r="I60" i="1" s="1"/>
  <c r="K60" i="1" s="1"/>
  <c r="W60" i="1" s="1"/>
  <c r="X16" i="1" l="1"/>
  <c r="X17" i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X5" i="1"/>
  <c r="Y5" i="1" s="1"/>
  <c r="W18" i="1"/>
  <c r="O18" i="1"/>
  <c r="U4" i="1"/>
  <c r="W63" i="1"/>
  <c r="W96" i="1" s="1"/>
  <c r="X47" i="1"/>
  <c r="X46" i="1"/>
  <c r="X45" i="1"/>
  <c r="Y45" i="1" s="1"/>
  <c r="X43" i="1"/>
  <c r="Y43" i="1" s="1"/>
  <c r="X42" i="1"/>
  <c r="Y42" i="1" s="1"/>
  <c r="X41" i="1"/>
  <c r="Y41" i="1" s="1"/>
  <c r="X40" i="1"/>
  <c r="Y40" i="1" s="1"/>
  <c r="X39" i="1"/>
  <c r="Y39" i="1" s="1"/>
  <c r="X38" i="1"/>
  <c r="Y38" i="1" s="1"/>
  <c r="X37" i="1"/>
  <c r="Y37" i="1" s="1"/>
  <c r="X36" i="1"/>
  <c r="Y36" i="1" s="1"/>
  <c r="X35" i="1"/>
  <c r="Y35" i="1" s="1"/>
  <c r="W48" i="1"/>
  <c r="W95" i="1" s="1"/>
  <c r="O48" i="1"/>
  <c r="U34" i="1"/>
  <c r="X32" i="1"/>
  <c r="X31" i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W33" i="1"/>
  <c r="O33" i="1"/>
  <c r="U19" i="1"/>
  <c r="U54" i="1"/>
  <c r="V54" i="1" s="1"/>
  <c r="O63" i="1"/>
  <c r="X62" i="1"/>
  <c r="X61" i="1"/>
  <c r="X60" i="1"/>
  <c r="Y60" i="1" s="1"/>
  <c r="X59" i="1"/>
  <c r="Y59" i="1" s="1"/>
  <c r="X58" i="1"/>
  <c r="Y58" i="1" s="1"/>
  <c r="X57" i="1"/>
  <c r="Y57" i="1" s="1"/>
  <c r="X56" i="1"/>
  <c r="Y56" i="1" s="1"/>
  <c r="X55" i="1"/>
  <c r="Y55" i="1" s="1"/>
  <c r="X54" i="1"/>
  <c r="Y54" i="1" s="1"/>
  <c r="X53" i="1"/>
  <c r="Y53" i="1" s="1"/>
  <c r="X52" i="1"/>
  <c r="Y52" i="1" s="1"/>
  <c r="X51" i="1"/>
  <c r="Y51" i="1" s="1"/>
  <c r="X50" i="1"/>
  <c r="Y50" i="1" s="1"/>
  <c r="U49" i="1"/>
  <c r="U63" i="1" s="1"/>
  <c r="G90" i="1"/>
  <c r="U18" i="1" l="1"/>
  <c r="V4" i="1"/>
  <c r="U48" i="1"/>
  <c r="V34" i="1"/>
  <c r="U33" i="1"/>
  <c r="V19" i="1"/>
  <c r="V49" i="1"/>
  <c r="V63" i="1" s="1"/>
  <c r="V96" i="1" s="1"/>
  <c r="H90" i="1"/>
  <c r="I90" i="1" s="1"/>
  <c r="K90" i="1" s="1"/>
  <c r="V18" i="1" l="1"/>
  <c r="X4" i="1"/>
  <c r="V48" i="1"/>
  <c r="V95" i="1" s="1"/>
  <c r="X34" i="1"/>
  <c r="V33" i="1"/>
  <c r="X19" i="1"/>
  <c r="X49" i="1"/>
  <c r="R15" i="2"/>
  <c r="Q15" i="2"/>
  <c r="O15" i="2"/>
  <c r="N15" i="2"/>
  <c r="R14" i="2"/>
  <c r="Q14" i="2"/>
  <c r="O14" i="2"/>
  <c r="N14" i="2"/>
  <c r="R13" i="2"/>
  <c r="Q13" i="2"/>
  <c r="O13" i="2"/>
  <c r="N13" i="2"/>
  <c r="R12" i="2"/>
  <c r="Q12" i="2"/>
  <c r="O12" i="2"/>
  <c r="N12" i="2"/>
  <c r="R11" i="2"/>
  <c r="Q11" i="2"/>
  <c r="O11" i="2"/>
  <c r="N11" i="2"/>
  <c r="R10" i="2"/>
  <c r="Q10" i="2"/>
  <c r="O10" i="2"/>
  <c r="N10" i="2"/>
  <c r="R9" i="2"/>
  <c r="Q9" i="2"/>
  <c r="O9" i="2"/>
  <c r="N9" i="2"/>
  <c r="R8" i="2"/>
  <c r="Q8" i="2"/>
  <c r="O8" i="2"/>
  <c r="N8" i="2"/>
  <c r="R7" i="2"/>
  <c r="Q7" i="2"/>
  <c r="O7" i="2"/>
  <c r="N7" i="2"/>
  <c r="R6" i="2"/>
  <c r="Q6" i="2"/>
  <c r="O6" i="2"/>
  <c r="N6" i="2"/>
  <c r="R5" i="2"/>
  <c r="Q5" i="2"/>
  <c r="O5" i="2"/>
  <c r="N5" i="2"/>
  <c r="T93" i="1"/>
  <c r="S93" i="1"/>
  <c r="R93" i="1"/>
  <c r="Q93" i="1"/>
  <c r="P93" i="1"/>
  <c r="T78" i="1"/>
  <c r="S78" i="1"/>
  <c r="R78" i="1"/>
  <c r="Q78" i="1"/>
  <c r="P78" i="1"/>
  <c r="X18" i="1" l="1"/>
  <c r="Y4" i="1"/>
  <c r="Y18" i="1" s="1"/>
  <c r="X48" i="1"/>
  <c r="X95" i="1" s="1"/>
  <c r="Y34" i="1"/>
  <c r="Y48" i="1" s="1"/>
  <c r="Y95" i="1" s="1"/>
  <c r="X33" i="1"/>
  <c r="Y19" i="1"/>
  <c r="Y33" i="1" s="1"/>
  <c r="X63" i="1"/>
  <c r="X96" i="1" s="1"/>
  <c r="Y49" i="1"/>
  <c r="Y63" i="1" s="1"/>
  <c r="Y96" i="1" s="1"/>
  <c r="Z90" i="1" l="1"/>
  <c r="Z80" i="1"/>
  <c r="Z81" i="1"/>
  <c r="Z82" i="1"/>
  <c r="Z83" i="1"/>
  <c r="Z84" i="1"/>
  <c r="Z85" i="1"/>
  <c r="Z86" i="1"/>
  <c r="Z87" i="1"/>
  <c r="Z88" i="1"/>
  <c r="Z89" i="1"/>
  <c r="Z79" i="1"/>
  <c r="Z71" i="1"/>
  <c r="Z72" i="1"/>
  <c r="Z73" i="1"/>
  <c r="Z74" i="1"/>
  <c r="Z75" i="1"/>
  <c r="G71" i="1"/>
  <c r="G72" i="1"/>
  <c r="G73" i="1"/>
  <c r="G74" i="1"/>
  <c r="G75" i="1"/>
  <c r="G79" i="1"/>
  <c r="G80" i="1"/>
  <c r="G81" i="1"/>
  <c r="G82" i="1"/>
  <c r="G83" i="1"/>
  <c r="G84" i="1"/>
  <c r="G85" i="1"/>
  <c r="G86" i="1"/>
  <c r="G87" i="1"/>
  <c r="G88" i="1"/>
  <c r="G89" i="1"/>
  <c r="Z78" i="1" l="1"/>
  <c r="Z93" i="1"/>
  <c r="Z98" i="1" s="1"/>
  <c r="Z97" i="1"/>
  <c r="O85" i="1"/>
  <c r="U85" i="1" s="1"/>
  <c r="O71" i="1"/>
  <c r="H71" i="1"/>
  <c r="I71" i="1" s="1"/>
  <c r="K71" i="1" s="1"/>
  <c r="W71" i="1" s="1"/>
  <c r="U71" i="1" l="1"/>
  <c r="Z99" i="1"/>
  <c r="V71" i="1"/>
  <c r="O90" i="1"/>
  <c r="U90" i="1" s="1"/>
  <c r="W90" i="1"/>
  <c r="O89" i="1"/>
  <c r="U89" i="1" s="1"/>
  <c r="H89" i="1"/>
  <c r="I89" i="1" s="1"/>
  <c r="K89" i="1" s="1"/>
  <c r="W89" i="1" s="1"/>
  <c r="O88" i="1"/>
  <c r="U88" i="1" s="1"/>
  <c r="H88" i="1"/>
  <c r="I88" i="1" s="1"/>
  <c r="K88" i="1" s="1"/>
  <c r="W88" i="1" s="1"/>
  <c r="O87" i="1"/>
  <c r="U87" i="1" s="1"/>
  <c r="H87" i="1"/>
  <c r="I87" i="1" s="1"/>
  <c r="K87" i="1" s="1"/>
  <c r="W87" i="1" s="1"/>
  <c r="O86" i="1"/>
  <c r="U86" i="1" s="1"/>
  <c r="H86" i="1"/>
  <c r="I86" i="1" s="1"/>
  <c r="K86" i="1" s="1"/>
  <c r="W86" i="1" s="1"/>
  <c r="H85" i="1"/>
  <c r="I85" i="1" s="1"/>
  <c r="K85" i="1" s="1"/>
  <c r="W85" i="1" s="1"/>
  <c r="O84" i="1"/>
  <c r="U84" i="1" s="1"/>
  <c r="H84" i="1"/>
  <c r="I84" i="1" s="1"/>
  <c r="K84" i="1" s="1"/>
  <c r="W84" i="1" s="1"/>
  <c r="O83" i="1"/>
  <c r="U83" i="1" s="1"/>
  <c r="H83" i="1"/>
  <c r="I83" i="1" s="1"/>
  <c r="K83" i="1" s="1"/>
  <c r="W83" i="1" s="1"/>
  <c r="O82" i="1"/>
  <c r="U82" i="1" s="1"/>
  <c r="H82" i="1"/>
  <c r="I82" i="1" s="1"/>
  <c r="K82" i="1" s="1"/>
  <c r="W82" i="1" s="1"/>
  <c r="O81" i="1"/>
  <c r="U81" i="1" s="1"/>
  <c r="H81" i="1"/>
  <c r="I81" i="1" s="1"/>
  <c r="K81" i="1" s="1"/>
  <c r="W81" i="1" s="1"/>
  <c r="O80" i="1"/>
  <c r="U80" i="1" s="1"/>
  <c r="H80" i="1"/>
  <c r="I80" i="1" s="1"/>
  <c r="K80" i="1" s="1"/>
  <c r="W80" i="1" s="1"/>
  <c r="O79" i="1"/>
  <c r="U79" i="1" s="1"/>
  <c r="H79" i="1"/>
  <c r="I79" i="1" s="1"/>
  <c r="K79" i="1" s="1"/>
  <c r="W79" i="1" s="1"/>
  <c r="O75" i="1"/>
  <c r="U75" i="1" s="1"/>
  <c r="H75" i="1"/>
  <c r="I75" i="1" s="1"/>
  <c r="K75" i="1" s="1"/>
  <c r="W75" i="1" s="1"/>
  <c r="O74" i="1"/>
  <c r="U74" i="1" s="1"/>
  <c r="H74" i="1"/>
  <c r="I74" i="1" s="1"/>
  <c r="K74" i="1" s="1"/>
  <c r="W74" i="1" s="1"/>
  <c r="O73" i="1"/>
  <c r="U73" i="1" s="1"/>
  <c r="H73" i="1"/>
  <c r="I73" i="1" s="1"/>
  <c r="K73" i="1" s="1"/>
  <c r="W73" i="1" s="1"/>
  <c r="O72" i="1"/>
  <c r="O78" i="1" s="1"/>
  <c r="H72" i="1"/>
  <c r="I72" i="1" s="1"/>
  <c r="K72" i="1" s="1"/>
  <c r="W93" i="1" l="1"/>
  <c r="W98" i="1" s="1"/>
  <c r="U72" i="1"/>
  <c r="U78" i="1" s="1"/>
  <c r="X71" i="1"/>
  <c r="U93" i="1"/>
  <c r="O93" i="1"/>
  <c r="W72" i="1"/>
  <c r="W78" i="1" s="1"/>
  <c r="V73" i="1"/>
  <c r="V74" i="1"/>
  <c r="V75" i="1"/>
  <c r="V80" i="1"/>
  <c r="V81" i="1"/>
  <c r="V82" i="1"/>
  <c r="V83" i="1"/>
  <c r="V84" i="1"/>
  <c r="V85" i="1"/>
  <c r="V86" i="1"/>
  <c r="V87" i="1"/>
  <c r="V88" i="1"/>
  <c r="V89" i="1"/>
  <c r="V90" i="1"/>
  <c r="X90" i="1" s="1"/>
  <c r="Y71" i="1" l="1"/>
  <c r="X75" i="1"/>
  <c r="Y75" i="1" s="1"/>
  <c r="X76" i="1"/>
  <c r="X89" i="1"/>
  <c r="Y89" i="1" s="1"/>
  <c r="X88" i="1"/>
  <c r="Y88" i="1" s="1"/>
  <c r="X87" i="1"/>
  <c r="Y87" i="1" s="1"/>
  <c r="X86" i="1"/>
  <c r="Y86" i="1" s="1"/>
  <c r="X85" i="1"/>
  <c r="Y85" i="1" s="1"/>
  <c r="X84" i="1"/>
  <c r="Y84" i="1" s="1"/>
  <c r="X83" i="1"/>
  <c r="Y83" i="1" s="1"/>
  <c r="X82" i="1"/>
  <c r="Y82" i="1" s="1"/>
  <c r="X81" i="1"/>
  <c r="Y81" i="1" s="1"/>
  <c r="X80" i="1"/>
  <c r="Y80" i="1" s="1"/>
  <c r="X74" i="1"/>
  <c r="Y74" i="1" s="1"/>
  <c r="X73" i="1"/>
  <c r="Y73" i="1" s="1"/>
  <c r="X92" i="1"/>
  <c r="X91" i="1"/>
  <c r="X77" i="1"/>
  <c r="V72" i="1"/>
  <c r="V78" i="1" s="1"/>
  <c r="V97" i="1" s="1"/>
  <c r="Y90" i="1"/>
  <c r="V79" i="1"/>
  <c r="W97" i="1" l="1"/>
  <c r="W99" i="1" s="1"/>
  <c r="V93" i="1"/>
  <c r="V98" i="1" s="1"/>
  <c r="X79" i="1"/>
  <c r="Y79" i="1" s="1"/>
  <c r="X72" i="1"/>
  <c r="Y72" i="1" l="1"/>
  <c r="X78" i="1"/>
  <c r="X93" i="1"/>
  <c r="X98" i="1" s="1"/>
  <c r="X97" i="1"/>
  <c r="V99" i="1"/>
  <c r="Y93" i="1"/>
  <c r="Y98" i="1" s="1"/>
  <c r="Y78" i="1" l="1"/>
  <c r="Y97" i="1" s="1"/>
  <c r="X99" i="1"/>
  <c r="Y99" i="1"/>
</calcChain>
</file>

<file path=xl/sharedStrings.xml><?xml version="1.0" encoding="utf-8"?>
<sst xmlns="http://schemas.openxmlformats.org/spreadsheetml/2006/main" count="224" uniqueCount="66">
  <si>
    <t>Startstufe</t>
  </si>
  <si>
    <t>Frau Manuela Beier</t>
  </si>
  <si>
    <t>EG2</t>
  </si>
  <si>
    <t>ES1</t>
  </si>
  <si>
    <t>Laufzeit:</t>
  </si>
  <si>
    <t>01.07.2023-15.11.2027</t>
  </si>
  <si>
    <t>Wochenstunden:</t>
  </si>
  <si>
    <t>Sachkostenpauschale:</t>
  </si>
  <si>
    <t>Kinder</t>
  </si>
  <si>
    <t>Krankenkasse:</t>
  </si>
  <si>
    <t>Barmer</t>
  </si>
  <si>
    <t>AGA</t>
  </si>
  <si>
    <t>Anteil Monat</t>
  </si>
  <si>
    <t>Bundes-ML</t>
  </si>
  <si>
    <t>Land-ML</t>
  </si>
  <si>
    <t>FTE AN-Brutto</t>
  </si>
  <si>
    <t>AN-Brutto</t>
  </si>
  <si>
    <t>Gesamt AG-Brutto JC</t>
  </si>
  <si>
    <t>Degression</t>
  </si>
  <si>
    <t>EGZ JC</t>
  </si>
  <si>
    <t>Monate im Jahr</t>
  </si>
  <si>
    <t>Tarifeinigung vom 5.5.2026</t>
  </si>
  <si>
    <t>KV</t>
  </si>
  <si>
    <t>RV</t>
  </si>
  <si>
    <t>PV</t>
  </si>
  <si>
    <t>U2</t>
  </si>
  <si>
    <t>IGU</t>
  </si>
  <si>
    <r>
      <t>AGA</t>
    </r>
    <r>
      <rPr>
        <vertAlign val="subscript"/>
        <sz val="11"/>
        <color theme="1"/>
        <rFont val="Calibri"/>
        <family val="2"/>
        <scheme val="minor"/>
      </rPr>
      <t>real</t>
    </r>
  </si>
  <si>
    <r>
      <t>Gehalt AN + AGA</t>
    </r>
    <r>
      <rPr>
        <vertAlign val="subscript"/>
        <sz val="11"/>
        <color theme="1"/>
        <rFont val="Calibri"/>
        <family val="2"/>
        <scheme val="minor"/>
      </rPr>
      <t>real</t>
    </r>
  </si>
  <si>
    <t>Anteil JC</t>
  </si>
  <si>
    <t>Anteil ZGS</t>
  </si>
  <si>
    <t>Anteil Degression</t>
  </si>
  <si>
    <t>SK-Land</t>
  </si>
  <si>
    <t>14,6</t>
  </si>
  <si>
    <t>14,84</t>
  </si>
  <si>
    <t xml:space="preserve">Jahressonderzahlung (85%) </t>
  </si>
  <si>
    <t>AGA auf JSZ</t>
  </si>
  <si>
    <t>Die Jahressonderzahlung beträgt 85% des Septembergehalts (gemäß Arbeitsmonaten), mit Anspruch  falls eine Beschäftigung zum 1.12. besteht</t>
  </si>
  <si>
    <t>ES Wechsel am 01.07.2024</t>
  </si>
  <si>
    <t>ES Wechsel am 01.07.2026</t>
  </si>
  <si>
    <t>Beitragssätze Krankenkassen</t>
  </si>
  <si>
    <t>Stand 01.06.2026</t>
  </si>
  <si>
    <t>Mit Kind</t>
  </si>
  <si>
    <t>Ohne Kind</t>
  </si>
  <si>
    <t>Zusatzbeitrag</t>
  </si>
  <si>
    <t>AV</t>
  </si>
  <si>
    <t>PV (1 Kind)*</t>
  </si>
  <si>
    <t>PV kinderlos**</t>
  </si>
  <si>
    <t>U1 bei …</t>
  </si>
  <si>
    <t>U1 Erstattungssatz</t>
  </si>
  <si>
    <t>U2 Umlage</t>
  </si>
  <si>
    <t>IGU (U3)</t>
  </si>
  <si>
    <t>AN-Anteil</t>
  </si>
  <si>
    <t>AG-Anteil</t>
  </si>
  <si>
    <t>AOK BLN-BRB</t>
  </si>
  <si>
    <t>BIG direkt</t>
  </si>
  <si>
    <t>Techniker</t>
  </si>
  <si>
    <t>BKK VBU</t>
  </si>
  <si>
    <t>DAK</t>
  </si>
  <si>
    <t>IKK BLN-BRB</t>
  </si>
  <si>
    <t>KKH</t>
  </si>
  <si>
    <t>Bahn-BKK</t>
  </si>
  <si>
    <t>MKK</t>
  </si>
  <si>
    <t>Novitas BKK</t>
  </si>
  <si>
    <t>*für jedes weitere Kind sinkt der AN-Beitrag um 0,25%</t>
  </si>
  <si>
    <t>**AG-Anteil 1,8%, Kinderlose AN-Anteil 2,4%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</si>
</sst>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0.0%"/>
    <numFmt numFmtId="166" formatCode="0.0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49" fontId="0" fillId="0" borderId="0" xfId="0" applyNumberFormat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44" fontId="2" fillId="2" borderId="0" xfId="0" applyNumberFormat="1" applyFont="1" applyFill="1"/>
    <xf numFmtId="0" fontId="0" fillId="0" borderId="0" xfId="0" applyAlignment="1">
      <alignment horizontal="center" vertical="center"/>
    </xf>
    <xf numFmtId="44" fontId="0" fillId="0" borderId="0" xfId="1" applyFont="1" applyFill="1"/>
    <xf numFmtId="44" fontId="0" fillId="0" borderId="0" xfId="1" applyFont="1" applyFill="1" applyAlignment="1">
      <alignment horizontal="center"/>
    </xf>
    <xf numFmtId="44" fontId="0" fillId="0" borderId="2" xfId="0" applyNumberFormat="1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3" borderId="0" xfId="0" applyNumberFormat="1" applyFill="1"/>
    <xf numFmtId="0" fontId="0" fillId="3" borderId="0" xfId="0" applyFill="1"/>
    <xf numFmtId="44" fontId="2" fillId="0" borderId="0" xfId="0" applyNumberFormat="1" applyFont="1"/>
    <xf numFmtId="0" fontId="5" fillId="0" borderId="0" xfId="0" applyFont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6" xfId="0" applyFont="1" applyFill="1" applyBorder="1"/>
    <xf numFmtId="164" fontId="0" fillId="0" borderId="8" xfId="0" applyNumberFormat="1" applyBorder="1"/>
    <xf numFmtId="164" fontId="0" fillId="0" borderId="7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0" fontId="2" fillId="4" borderId="9" xfId="0" applyFont="1" applyFill="1" applyBorder="1"/>
    <xf numFmtId="0" fontId="0" fillId="0" borderId="10" xfId="0" applyBorder="1"/>
    <xf numFmtId="164" fontId="0" fillId="0" borderId="11" xfId="0" applyNumberFormat="1" applyBorder="1"/>
    <xf numFmtId="164" fontId="0" fillId="0" borderId="10" xfId="0" applyNumberFormat="1" applyBorder="1"/>
    <xf numFmtId="165" fontId="0" fillId="0" borderId="10" xfId="0" applyNumberFormat="1" applyBorder="1"/>
    <xf numFmtId="0" fontId="0" fillId="0" borderId="11" xfId="0" applyBorder="1"/>
    <xf numFmtId="0" fontId="2" fillId="0" borderId="0" xfId="0" applyFont="1"/>
    <xf numFmtId="14" fontId="0" fillId="5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left" vertical="top"/>
    </xf>
    <xf numFmtId="14" fontId="0" fillId="6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44" fontId="0" fillId="5" borderId="0" xfId="0" applyNumberFormat="1" applyFill="1"/>
    <xf numFmtId="0" fontId="0" fillId="6" borderId="0" xfId="0" applyFill="1" applyAlignment="1">
      <alignment horizontal="left" vertical="center"/>
    </xf>
    <xf numFmtId="49" fontId="0" fillId="2" borderId="0" xfId="0" applyNumberForma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8" fillId="0" borderId="0" xfId="0" applyFont="1"/>
    <xf numFmtId="10" fontId="8" fillId="0" borderId="0" xfId="0" applyNumberFormat="1" applyFont="1"/>
    <xf numFmtId="0" fontId="8" fillId="0" borderId="0" xfId="0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  <pageSetUpPr fitToPage="1"/>
  </sheetPr>
  <dimension ref="A1:Z103"/>
  <sheetViews>
    <sheetView tabSelected="1" workbookViewId="0">
      <pane xSplit="1" ySplit="3" topLeftCell="B13" activePane="bottomRight" state="frozen"/>
      <selection pane="bottomRight" activeCell="L17" sqref="L17"/>
      <selection pane="bottomLeft"/>
      <selection pane="topRight"/>
    </sheetView>
  </sheetViews>
  <sheetFormatPr defaultColWidth="11.42578125" defaultRowHeight="15"/>
  <cols>
    <col min="1" max="1" width="24.42578125" style="11" customWidth="1"/>
    <col min="2" max="2" width="11.42578125" style="11"/>
    <col min="3" max="3" width="17" style="11" customWidth="1"/>
    <col min="4" max="4" width="11.42578125" style="11"/>
    <col min="5" max="5" width="10.5703125" style="11" customWidth="1"/>
    <col min="6" max="6" width="14.7109375" customWidth="1"/>
    <col min="8" max="8" width="9.7109375" style="1" bestFit="1" customWidth="1"/>
    <col min="9" max="9" width="12" bestFit="1" customWidth="1"/>
    <col min="10" max="10" width="11.42578125" customWidth="1"/>
    <col min="11" max="11" width="12" customWidth="1"/>
    <col min="12" max="12" width="15" bestFit="1" customWidth="1"/>
    <col min="13" max="13" width="12" bestFit="1" customWidth="1"/>
    <col min="14" max="14" width="3" customWidth="1"/>
    <col min="15" max="15" width="14.28515625" customWidth="1"/>
    <col min="16" max="19" width="12" hidden="1" customWidth="1"/>
    <col min="20" max="20" width="10.28515625" hidden="1" customWidth="1"/>
    <col min="21" max="21" width="13" bestFit="1" customWidth="1"/>
    <col min="22" max="22" width="14.5703125" bestFit="1" customWidth="1"/>
    <col min="23" max="23" width="19.140625" customWidth="1"/>
    <col min="24" max="24" width="12" bestFit="1" customWidth="1"/>
    <col min="25" max="25" width="13.140625" customWidth="1"/>
    <col min="26" max="26" width="12" bestFit="1" customWidth="1"/>
  </cols>
  <sheetData>
    <row r="1" spans="1:26">
      <c r="B1" s="54" t="s">
        <v>0</v>
      </c>
    </row>
    <row r="2" spans="1:26" ht="17.25" customHeight="1">
      <c r="A2" s="55" t="s">
        <v>1</v>
      </c>
      <c r="B2" s="55" t="s">
        <v>2</v>
      </c>
      <c r="C2" s="55" t="s">
        <v>3</v>
      </c>
      <c r="D2" s="55" t="s">
        <v>4</v>
      </c>
      <c r="E2" s="55"/>
      <c r="F2" s="57" t="s">
        <v>5</v>
      </c>
      <c r="G2" s="55"/>
      <c r="H2" s="55"/>
      <c r="I2" s="55" t="s">
        <v>6</v>
      </c>
      <c r="J2" s="55">
        <v>30</v>
      </c>
      <c r="K2" s="55"/>
      <c r="L2" s="55" t="s">
        <v>7</v>
      </c>
      <c r="M2" s="55">
        <v>221</v>
      </c>
      <c r="N2" s="55"/>
      <c r="O2" s="55" t="s">
        <v>8</v>
      </c>
      <c r="P2" s="55">
        <v>0</v>
      </c>
      <c r="Q2" s="55"/>
      <c r="R2" s="55"/>
      <c r="S2" s="55"/>
      <c r="T2" s="56"/>
      <c r="U2" s="55"/>
      <c r="V2" s="55" t="s">
        <v>9</v>
      </c>
      <c r="W2" t="s">
        <v>10</v>
      </c>
      <c r="X2" t="s">
        <v>11</v>
      </c>
      <c r="Y2" s="45">
        <v>0.23815</v>
      </c>
    </row>
    <row r="3" spans="1:26">
      <c r="A3" s="2"/>
      <c r="B3" s="2" t="s">
        <v>12</v>
      </c>
      <c r="C3" s="2" t="s">
        <v>13</v>
      </c>
      <c r="D3" s="2" t="s">
        <v>14</v>
      </c>
      <c r="E3" s="2"/>
      <c r="F3" s="20" t="s">
        <v>15</v>
      </c>
      <c r="G3" s="3" t="s">
        <v>16</v>
      </c>
      <c r="H3" s="4">
        <v>0.19</v>
      </c>
      <c r="I3" s="4" t="s">
        <v>17</v>
      </c>
      <c r="J3" s="3" t="s">
        <v>18</v>
      </c>
      <c r="K3" s="3" t="s">
        <v>19</v>
      </c>
      <c r="L3" s="3" t="s">
        <v>20</v>
      </c>
      <c r="M3" s="48" t="s">
        <v>21</v>
      </c>
      <c r="N3" s="5"/>
      <c r="O3" s="5" t="s">
        <v>16</v>
      </c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 t="s">
        <v>29</v>
      </c>
      <c r="X3" s="5" t="s">
        <v>30</v>
      </c>
      <c r="Y3" s="5" t="s">
        <v>31</v>
      </c>
      <c r="Z3" s="5" t="s">
        <v>32</v>
      </c>
    </row>
    <row r="4" spans="1:26">
      <c r="A4" s="17"/>
      <c r="B4" s="15"/>
      <c r="C4" s="6" t="s">
        <v>33</v>
      </c>
      <c r="D4" s="6" t="s">
        <v>34</v>
      </c>
      <c r="F4" s="19"/>
      <c r="G4" s="7">
        <f t="shared" ref="G4:G15" si="0">F4*($J$2/39)*B4</f>
        <v>0</v>
      </c>
      <c r="H4" s="7">
        <f t="shared" ref="H4:H15" si="1">SUM(G4:G4)*19%</f>
        <v>0</v>
      </c>
      <c r="I4" s="8">
        <f t="shared" ref="I4:I18" si="2">SUM(G4:H4)</f>
        <v>0</v>
      </c>
      <c r="J4" s="1"/>
      <c r="K4" s="9">
        <f t="shared" ref="K4:K15" si="3">I4*J4%</f>
        <v>0</v>
      </c>
      <c r="L4" s="16"/>
      <c r="M4" s="9"/>
      <c r="N4" s="9"/>
      <c r="O4" s="9">
        <f t="shared" ref="O4:O15" si="4">SUM(G4:G4)</f>
        <v>0</v>
      </c>
      <c r="P4" s="9"/>
      <c r="Q4" s="9"/>
      <c r="R4" s="9"/>
      <c r="S4" s="9"/>
      <c r="T4" s="9"/>
      <c r="U4" s="9">
        <f>O4*$Y$2</f>
        <v>0</v>
      </c>
      <c r="V4" s="9">
        <f t="shared" ref="V4:V18" si="5">U4+O4</f>
        <v>0</v>
      </c>
      <c r="W4" s="9">
        <f t="shared" ref="W4:W18" si="6">K4</f>
        <v>0</v>
      </c>
      <c r="X4" s="9">
        <f t="shared" ref="X4:X15" si="7">V4-I4</f>
        <v>0</v>
      </c>
      <c r="Y4" s="9">
        <f t="shared" ref="Y4:Y18" si="8">V4-W4-X4</f>
        <v>0</v>
      </c>
      <c r="Z4" s="7">
        <f t="shared" ref="Z4:Z18" si="9">$M$2*B4</f>
        <v>0</v>
      </c>
    </row>
    <row r="5" spans="1:26">
      <c r="A5" s="17"/>
      <c r="B5" s="15"/>
      <c r="C5" s="6" t="s">
        <v>33</v>
      </c>
      <c r="D5" s="6" t="s">
        <v>34</v>
      </c>
      <c r="F5" s="19"/>
      <c r="G5" s="7">
        <f t="shared" si="0"/>
        <v>0</v>
      </c>
      <c r="H5" s="7">
        <f t="shared" si="1"/>
        <v>0</v>
      </c>
      <c r="I5" s="8">
        <f t="shared" si="2"/>
        <v>0</v>
      </c>
      <c r="J5" s="1"/>
      <c r="K5" s="9">
        <f t="shared" si="3"/>
        <v>0</v>
      </c>
      <c r="L5" s="16"/>
      <c r="M5" s="9"/>
      <c r="N5" s="9"/>
      <c r="O5" s="9">
        <f t="shared" si="4"/>
        <v>0</v>
      </c>
      <c r="P5" s="9"/>
      <c r="Q5" s="9"/>
      <c r="R5" s="9"/>
      <c r="S5" s="9"/>
      <c r="T5" s="9"/>
      <c r="U5" s="9">
        <f t="shared" ref="U5:U15" si="10">O5*$Y$2</f>
        <v>0</v>
      </c>
      <c r="V5" s="9">
        <f t="shared" si="5"/>
        <v>0</v>
      </c>
      <c r="W5" s="9">
        <f t="shared" si="6"/>
        <v>0</v>
      </c>
      <c r="X5" s="9">
        <f t="shared" si="7"/>
        <v>0</v>
      </c>
      <c r="Y5" s="9">
        <f t="shared" si="8"/>
        <v>0</v>
      </c>
      <c r="Z5" s="7">
        <f t="shared" si="9"/>
        <v>0</v>
      </c>
    </row>
    <row r="6" spans="1:26">
      <c r="A6" s="17"/>
      <c r="B6" s="15"/>
      <c r="C6" s="6" t="s">
        <v>33</v>
      </c>
      <c r="D6" s="6" t="s">
        <v>34</v>
      </c>
      <c r="F6" s="19"/>
      <c r="G6" s="7">
        <f t="shared" si="0"/>
        <v>0</v>
      </c>
      <c r="H6" s="7">
        <f t="shared" si="1"/>
        <v>0</v>
      </c>
      <c r="I6" s="8">
        <f t="shared" si="2"/>
        <v>0</v>
      </c>
      <c r="J6" s="1"/>
      <c r="K6" s="9">
        <f t="shared" si="3"/>
        <v>0</v>
      </c>
      <c r="L6" s="16"/>
      <c r="M6" s="9">
        <f>F6-F5</f>
        <v>0</v>
      </c>
      <c r="N6" s="9"/>
      <c r="O6" s="9">
        <f t="shared" si="4"/>
        <v>0</v>
      </c>
      <c r="P6" s="9"/>
      <c r="Q6" s="9"/>
      <c r="R6" s="9"/>
      <c r="S6" s="9"/>
      <c r="T6" s="9"/>
      <c r="U6" s="9">
        <f t="shared" si="10"/>
        <v>0</v>
      </c>
      <c r="V6" s="9">
        <f t="shared" si="5"/>
        <v>0</v>
      </c>
      <c r="W6" s="9">
        <f t="shared" si="6"/>
        <v>0</v>
      </c>
      <c r="X6" s="9">
        <f t="shared" si="7"/>
        <v>0</v>
      </c>
      <c r="Y6" s="9">
        <f t="shared" si="8"/>
        <v>0</v>
      </c>
      <c r="Z6" s="7">
        <f t="shared" si="9"/>
        <v>0</v>
      </c>
    </row>
    <row r="7" spans="1:26">
      <c r="A7" s="17"/>
      <c r="B7" s="15"/>
      <c r="C7" s="6" t="s">
        <v>33</v>
      </c>
      <c r="D7" s="6" t="s">
        <v>34</v>
      </c>
      <c r="F7" s="19"/>
      <c r="G7" s="7">
        <f t="shared" si="0"/>
        <v>0</v>
      </c>
      <c r="H7" s="7">
        <f t="shared" si="1"/>
        <v>0</v>
      </c>
      <c r="I7" s="8">
        <f t="shared" si="2"/>
        <v>0</v>
      </c>
      <c r="J7" s="1"/>
      <c r="K7" s="9">
        <f t="shared" si="3"/>
        <v>0</v>
      </c>
      <c r="L7" s="16"/>
      <c r="M7" s="9"/>
      <c r="N7" s="9"/>
      <c r="O7" s="9">
        <f t="shared" si="4"/>
        <v>0</v>
      </c>
      <c r="P7" s="9"/>
      <c r="Q7" s="9"/>
      <c r="R7" s="9"/>
      <c r="S7" s="9"/>
      <c r="T7" s="9"/>
      <c r="U7" s="9">
        <f t="shared" si="10"/>
        <v>0</v>
      </c>
      <c r="V7" s="9">
        <f t="shared" si="5"/>
        <v>0</v>
      </c>
      <c r="W7" s="9">
        <f t="shared" si="6"/>
        <v>0</v>
      </c>
      <c r="X7" s="9">
        <f t="shared" si="7"/>
        <v>0</v>
      </c>
      <c r="Y7" s="9">
        <f t="shared" si="8"/>
        <v>0</v>
      </c>
      <c r="Z7" s="7">
        <f t="shared" si="9"/>
        <v>0</v>
      </c>
    </row>
    <row r="8" spans="1:26">
      <c r="A8" s="17"/>
      <c r="B8" s="15"/>
      <c r="C8" s="6" t="s">
        <v>33</v>
      </c>
      <c r="D8" s="6" t="s">
        <v>34</v>
      </c>
      <c r="F8" s="19"/>
      <c r="G8" s="7">
        <f t="shared" si="0"/>
        <v>0</v>
      </c>
      <c r="H8" s="7">
        <f t="shared" si="1"/>
        <v>0</v>
      </c>
      <c r="I8" s="8">
        <f t="shared" si="2"/>
        <v>0</v>
      </c>
      <c r="J8" s="1"/>
      <c r="K8" s="9">
        <f t="shared" si="3"/>
        <v>0</v>
      </c>
      <c r="L8" s="16"/>
      <c r="M8" s="9"/>
      <c r="N8" s="9"/>
      <c r="O8" s="9">
        <f t="shared" si="4"/>
        <v>0</v>
      </c>
      <c r="P8" s="9"/>
      <c r="Q8" s="9"/>
      <c r="R8" s="9"/>
      <c r="S8" s="9"/>
      <c r="T8" s="9"/>
      <c r="U8" s="9">
        <f t="shared" si="10"/>
        <v>0</v>
      </c>
      <c r="V8" s="9">
        <f t="shared" si="5"/>
        <v>0</v>
      </c>
      <c r="W8" s="9">
        <f t="shared" si="6"/>
        <v>0</v>
      </c>
      <c r="X8" s="9">
        <f t="shared" si="7"/>
        <v>0</v>
      </c>
      <c r="Y8" s="9">
        <f t="shared" si="8"/>
        <v>0</v>
      </c>
      <c r="Z8" s="7">
        <f t="shared" si="9"/>
        <v>0</v>
      </c>
    </row>
    <row r="9" spans="1:26">
      <c r="A9" s="17"/>
      <c r="B9" s="15"/>
      <c r="C9" s="6" t="s">
        <v>33</v>
      </c>
      <c r="D9" s="6" t="s">
        <v>34</v>
      </c>
      <c r="F9" s="19"/>
      <c r="G9" s="7">
        <f t="shared" si="0"/>
        <v>0</v>
      </c>
      <c r="H9" s="7">
        <f t="shared" si="1"/>
        <v>0</v>
      </c>
      <c r="I9" s="8">
        <f t="shared" si="2"/>
        <v>0</v>
      </c>
      <c r="J9" s="1"/>
      <c r="K9" s="9">
        <f t="shared" si="3"/>
        <v>0</v>
      </c>
      <c r="L9" s="16"/>
      <c r="M9" s="9">
        <f t="shared" ref="M9:M18" si="11">F9-F8</f>
        <v>0</v>
      </c>
      <c r="N9" s="9"/>
      <c r="O9" s="9">
        <f t="shared" si="4"/>
        <v>0</v>
      </c>
      <c r="P9" s="9"/>
      <c r="Q9" s="9"/>
      <c r="R9" s="9"/>
      <c r="S9" s="9"/>
      <c r="T9" s="9"/>
      <c r="U9" s="9">
        <f t="shared" si="10"/>
        <v>0</v>
      </c>
      <c r="V9" s="9">
        <f t="shared" si="5"/>
        <v>0</v>
      </c>
      <c r="W9" s="9">
        <f t="shared" si="6"/>
        <v>0</v>
      </c>
      <c r="X9" s="9">
        <f t="shared" si="7"/>
        <v>0</v>
      </c>
      <c r="Y9" s="9">
        <f t="shared" si="8"/>
        <v>0</v>
      </c>
      <c r="Z9" s="7">
        <f t="shared" si="9"/>
        <v>0</v>
      </c>
    </row>
    <row r="10" spans="1:26">
      <c r="A10" s="17"/>
      <c r="B10" s="15"/>
      <c r="C10" s="6" t="s">
        <v>33</v>
      </c>
      <c r="D10" s="6" t="s">
        <v>34</v>
      </c>
      <c r="F10" s="19"/>
      <c r="G10" s="7">
        <f t="shared" si="0"/>
        <v>0</v>
      </c>
      <c r="H10" s="7">
        <f t="shared" si="1"/>
        <v>0</v>
      </c>
      <c r="I10" s="8">
        <f t="shared" si="2"/>
        <v>0</v>
      </c>
      <c r="J10" s="1"/>
      <c r="K10" s="9">
        <f t="shared" si="3"/>
        <v>0</v>
      </c>
      <c r="L10" s="16"/>
      <c r="M10" s="9"/>
      <c r="N10" s="9"/>
      <c r="O10" s="9">
        <f t="shared" si="4"/>
        <v>0</v>
      </c>
      <c r="P10" s="9"/>
      <c r="Q10" s="9"/>
      <c r="R10" s="9"/>
      <c r="S10" s="9"/>
      <c r="T10" s="9"/>
      <c r="U10" s="9">
        <f t="shared" si="10"/>
        <v>0</v>
      </c>
      <c r="V10" s="9">
        <f t="shared" si="5"/>
        <v>0</v>
      </c>
      <c r="W10" s="9">
        <f t="shared" si="6"/>
        <v>0</v>
      </c>
      <c r="X10" s="9">
        <f t="shared" si="7"/>
        <v>0</v>
      </c>
      <c r="Y10" s="9">
        <f t="shared" si="8"/>
        <v>0</v>
      </c>
      <c r="Z10" s="7">
        <f t="shared" si="9"/>
        <v>0</v>
      </c>
    </row>
    <row r="11" spans="1:26">
      <c r="A11" s="17"/>
      <c r="B11" s="15"/>
      <c r="C11" s="6" t="s">
        <v>33</v>
      </c>
      <c r="D11" s="6" t="s">
        <v>34</v>
      </c>
      <c r="F11" s="19"/>
      <c r="G11" s="7">
        <f t="shared" si="0"/>
        <v>0</v>
      </c>
      <c r="H11" s="7">
        <f t="shared" si="1"/>
        <v>0</v>
      </c>
      <c r="I11" s="8">
        <f t="shared" si="2"/>
        <v>0</v>
      </c>
      <c r="J11" s="1"/>
      <c r="K11" s="9">
        <f t="shared" si="3"/>
        <v>0</v>
      </c>
      <c r="L11" s="16"/>
      <c r="M11" s="9"/>
      <c r="N11" s="9"/>
      <c r="O11" s="9">
        <f t="shared" si="4"/>
        <v>0</v>
      </c>
      <c r="P11" s="9"/>
      <c r="Q11" s="9"/>
      <c r="R11" s="9"/>
      <c r="S11" s="9"/>
      <c r="T11" s="9"/>
      <c r="U11" s="9">
        <f t="shared" si="10"/>
        <v>0</v>
      </c>
      <c r="V11" s="9">
        <f t="shared" si="5"/>
        <v>0</v>
      </c>
      <c r="W11" s="9">
        <f t="shared" si="6"/>
        <v>0</v>
      </c>
      <c r="X11" s="9">
        <f t="shared" si="7"/>
        <v>0</v>
      </c>
      <c r="Y11" s="9">
        <f t="shared" si="8"/>
        <v>0</v>
      </c>
      <c r="Z11" s="7">
        <f t="shared" si="9"/>
        <v>0</v>
      </c>
    </row>
    <row r="12" spans="1:26">
      <c r="A12" s="17"/>
      <c r="B12" s="15"/>
      <c r="C12" s="6" t="s">
        <v>33</v>
      </c>
      <c r="D12" s="6" t="s">
        <v>34</v>
      </c>
      <c r="F12" s="19"/>
      <c r="G12" s="7">
        <f t="shared" si="0"/>
        <v>0</v>
      </c>
      <c r="H12" s="7">
        <f t="shared" si="1"/>
        <v>0</v>
      </c>
      <c r="I12" s="8">
        <f t="shared" si="2"/>
        <v>0</v>
      </c>
      <c r="J12" s="1"/>
      <c r="K12" s="9">
        <f t="shared" si="3"/>
        <v>0</v>
      </c>
      <c r="L12" s="16"/>
      <c r="M12" s="9">
        <f t="shared" ref="M12:M18" si="12">F12-F11</f>
        <v>0</v>
      </c>
      <c r="N12" s="9"/>
      <c r="O12" s="9">
        <f t="shared" si="4"/>
        <v>0</v>
      </c>
      <c r="P12" s="9"/>
      <c r="Q12" s="9"/>
      <c r="R12" s="9"/>
      <c r="S12" s="9"/>
      <c r="T12" s="9"/>
      <c r="U12" s="9">
        <f t="shared" si="10"/>
        <v>0</v>
      </c>
      <c r="V12" s="9">
        <f t="shared" si="5"/>
        <v>0</v>
      </c>
      <c r="W12" s="9">
        <f t="shared" si="6"/>
        <v>0</v>
      </c>
      <c r="X12" s="9">
        <f t="shared" si="7"/>
        <v>0</v>
      </c>
      <c r="Y12" s="9">
        <f t="shared" si="8"/>
        <v>0</v>
      </c>
      <c r="Z12" s="7">
        <f t="shared" si="9"/>
        <v>0</v>
      </c>
    </row>
    <row r="13" spans="1:26">
      <c r="A13" s="17"/>
      <c r="B13" s="15"/>
      <c r="C13" s="6" t="s">
        <v>33</v>
      </c>
      <c r="D13" s="6" t="s">
        <v>34</v>
      </c>
      <c r="E13" s="6"/>
      <c r="F13" s="19"/>
      <c r="G13" s="7">
        <f t="shared" si="0"/>
        <v>0</v>
      </c>
      <c r="H13" s="7">
        <f t="shared" si="1"/>
        <v>0</v>
      </c>
      <c r="I13" s="8">
        <f t="shared" si="2"/>
        <v>0</v>
      </c>
      <c r="J13" s="1"/>
      <c r="K13" s="9">
        <f t="shared" si="3"/>
        <v>0</v>
      </c>
      <c r="L13" s="16"/>
      <c r="M13" s="9"/>
      <c r="N13" s="9"/>
      <c r="O13" s="9">
        <f t="shared" si="4"/>
        <v>0</v>
      </c>
      <c r="P13" s="9"/>
      <c r="Q13" s="9"/>
      <c r="R13" s="9"/>
      <c r="S13" s="9"/>
      <c r="T13" s="9"/>
      <c r="U13" s="9">
        <f t="shared" si="10"/>
        <v>0</v>
      </c>
      <c r="V13" s="9">
        <f t="shared" si="5"/>
        <v>0</v>
      </c>
      <c r="W13" s="9">
        <f t="shared" si="6"/>
        <v>0</v>
      </c>
      <c r="X13" s="9">
        <f t="shared" si="7"/>
        <v>0</v>
      </c>
      <c r="Y13" s="9">
        <f t="shared" si="8"/>
        <v>0</v>
      </c>
      <c r="Z13" s="7">
        <f t="shared" si="9"/>
        <v>0</v>
      </c>
    </row>
    <row r="14" spans="1:26">
      <c r="A14" s="17"/>
      <c r="B14" s="15"/>
      <c r="C14" s="6" t="s">
        <v>33</v>
      </c>
      <c r="D14" s="6" t="s">
        <v>34</v>
      </c>
      <c r="G14" s="7">
        <f t="shared" si="0"/>
        <v>0</v>
      </c>
      <c r="H14" s="7">
        <f t="shared" si="1"/>
        <v>0</v>
      </c>
      <c r="I14" s="8">
        <f t="shared" si="2"/>
        <v>0</v>
      </c>
      <c r="J14" s="1"/>
      <c r="K14" s="9">
        <f t="shared" si="3"/>
        <v>0</v>
      </c>
      <c r="L14" s="16"/>
      <c r="M14" s="9"/>
      <c r="N14" s="9"/>
      <c r="O14" s="9">
        <f t="shared" si="4"/>
        <v>0</v>
      </c>
      <c r="P14" s="9"/>
      <c r="Q14" s="9"/>
      <c r="R14" s="9"/>
      <c r="S14" s="9"/>
      <c r="T14" s="9"/>
      <c r="U14" s="9">
        <f t="shared" si="10"/>
        <v>0</v>
      </c>
      <c r="V14" s="9">
        <f t="shared" si="5"/>
        <v>0</v>
      </c>
      <c r="W14" s="9">
        <f t="shared" si="6"/>
        <v>0</v>
      </c>
      <c r="X14" s="9">
        <f t="shared" si="7"/>
        <v>0</v>
      </c>
      <c r="Y14" s="9">
        <f t="shared" si="8"/>
        <v>0</v>
      </c>
      <c r="Z14" s="7">
        <f t="shared" si="9"/>
        <v>0</v>
      </c>
    </row>
    <row r="15" spans="1:26">
      <c r="A15" s="17"/>
      <c r="B15" s="15"/>
      <c r="C15" s="6" t="s">
        <v>33</v>
      </c>
      <c r="D15" s="6" t="s">
        <v>34</v>
      </c>
      <c r="E15" s="51"/>
      <c r="G15" s="7">
        <f t="shared" si="0"/>
        <v>0</v>
      </c>
      <c r="H15" s="7">
        <f t="shared" si="1"/>
        <v>0</v>
      </c>
      <c r="I15" s="8">
        <f t="shared" si="2"/>
        <v>0</v>
      </c>
      <c r="J15" s="1"/>
      <c r="K15" s="9">
        <f t="shared" si="3"/>
        <v>0</v>
      </c>
      <c r="L15" s="16"/>
      <c r="M15" s="9"/>
      <c r="N15" s="9"/>
      <c r="O15" s="9">
        <f t="shared" si="4"/>
        <v>0</v>
      </c>
      <c r="P15" s="9"/>
      <c r="Q15" s="9"/>
      <c r="R15" s="9"/>
      <c r="S15" s="9"/>
      <c r="T15" s="9"/>
      <c r="U15" s="9">
        <f t="shared" si="10"/>
        <v>0</v>
      </c>
      <c r="V15" s="9">
        <f t="shared" si="5"/>
        <v>0</v>
      </c>
      <c r="W15" s="9">
        <f t="shared" si="6"/>
        <v>0</v>
      </c>
      <c r="X15" s="9">
        <f t="shared" si="7"/>
        <v>0</v>
      </c>
      <c r="Y15" s="9">
        <f t="shared" si="8"/>
        <v>0</v>
      </c>
      <c r="Z15" s="7">
        <f t="shared" si="9"/>
        <v>0</v>
      </c>
    </row>
    <row r="16" spans="1:26">
      <c r="A16" s="17"/>
      <c r="B16" s="15"/>
      <c r="C16" s="6"/>
      <c r="D16" s="6"/>
      <c r="E16" s="6"/>
      <c r="G16" s="7"/>
      <c r="H16" s="7"/>
      <c r="I16" s="8"/>
      <c r="J16" s="1"/>
      <c r="K16" s="9"/>
      <c r="L16" s="16">
        <f>SUM(B4:B15)</f>
        <v>0</v>
      </c>
      <c r="M16" s="9"/>
      <c r="N16" s="9"/>
      <c r="O16" s="21" t="s">
        <v>35</v>
      </c>
      <c r="P16" s="21"/>
      <c r="Q16" s="21"/>
      <c r="R16" s="21"/>
      <c r="S16" s="21"/>
      <c r="T16" s="21"/>
      <c r="U16" s="21"/>
      <c r="V16" s="21"/>
      <c r="W16" s="21"/>
      <c r="X16" s="21">
        <f>IF(V15&gt;0,O15*85%*(L16/12),0)</f>
        <v>0</v>
      </c>
      <c r="Y16" s="22"/>
      <c r="Z16" s="21"/>
    </row>
    <row r="17" spans="1:26">
      <c r="A17" s="17"/>
      <c r="B17" s="15"/>
      <c r="C17" s="6"/>
      <c r="D17" s="6"/>
      <c r="E17" s="6"/>
      <c r="G17" s="7"/>
      <c r="H17" s="7"/>
      <c r="I17" s="8"/>
      <c r="J17" s="1"/>
      <c r="K17" s="9"/>
      <c r="M17" s="9"/>
      <c r="N17" s="9"/>
      <c r="O17" s="21" t="s">
        <v>36</v>
      </c>
      <c r="P17" s="21"/>
      <c r="Q17" s="21"/>
      <c r="R17" s="21"/>
      <c r="S17" s="21"/>
      <c r="T17" s="21"/>
      <c r="U17" s="21"/>
      <c r="V17" s="22"/>
      <c r="W17" s="21"/>
      <c r="X17" s="21">
        <f>IF(V15&gt;0,U15*85%*(L16/12),0)</f>
        <v>0</v>
      </c>
      <c r="Y17" s="22"/>
      <c r="Z17" s="21"/>
    </row>
    <row r="18" spans="1:26">
      <c r="A18" s="17"/>
      <c r="B18" s="15"/>
      <c r="C18" s="6"/>
      <c r="D18" s="6"/>
      <c r="E18" s="6"/>
      <c r="G18" s="7"/>
      <c r="H18" s="7"/>
      <c r="I18" s="8"/>
      <c r="J18" s="1"/>
      <c r="K18" s="9"/>
      <c r="L18" s="16"/>
      <c r="M18" s="9"/>
      <c r="N18" s="9"/>
      <c r="O18" s="10">
        <f>SUM(O4:O15)</f>
        <v>0</v>
      </c>
      <c r="P18" s="10">
        <f t="shared" ref="P18:U18" si="13">SUM(P4:P17)</f>
        <v>0</v>
      </c>
      <c r="Q18" s="10">
        <f t="shared" si="13"/>
        <v>0</v>
      </c>
      <c r="R18" s="10">
        <f t="shared" si="13"/>
        <v>0</v>
      </c>
      <c r="S18" s="10">
        <f t="shared" si="13"/>
        <v>0</v>
      </c>
      <c r="T18" s="10">
        <f t="shared" si="13"/>
        <v>0</v>
      </c>
      <c r="U18" s="10">
        <f t="shared" si="13"/>
        <v>0</v>
      </c>
      <c r="V18" s="10">
        <f>SUM(V4:V15)</f>
        <v>0</v>
      </c>
      <c r="W18" s="10">
        <f t="shared" ref="W18" si="14">SUM(W4:W17)</f>
        <v>0</v>
      </c>
      <c r="X18" s="10">
        <f>SUM(X4:X17)</f>
        <v>0</v>
      </c>
      <c r="Y18" s="10">
        <f>SUM(Y4:Y17)</f>
        <v>0</v>
      </c>
      <c r="Z18" s="10">
        <f t="shared" ref="Z18" si="15">SUM(Z4:Z17)</f>
        <v>0</v>
      </c>
    </row>
    <row r="19" spans="1:26">
      <c r="A19" s="17"/>
      <c r="B19" s="15"/>
      <c r="C19" s="6" t="s">
        <v>33</v>
      </c>
      <c r="D19" s="6" t="s">
        <v>34</v>
      </c>
      <c r="G19" s="7">
        <f t="shared" ref="G19:G33" si="16">F19*($J$2/39)*B19</f>
        <v>0</v>
      </c>
      <c r="H19" s="7">
        <f t="shared" ref="H19:H30" si="17">SUM(G19:G19)*19%</f>
        <v>0</v>
      </c>
      <c r="I19" s="8">
        <f t="shared" ref="I19:I33" si="18">SUM(G19:H19)</f>
        <v>0</v>
      </c>
      <c r="J19" s="1"/>
      <c r="K19" s="9">
        <f t="shared" ref="K19:K30" si="19">I19*J19%</f>
        <v>0</v>
      </c>
      <c r="L19" s="16"/>
      <c r="M19" s="9"/>
      <c r="N19" s="9"/>
      <c r="O19" s="9">
        <f t="shared" ref="O19:O30" si="20">SUM(G19:G19)</f>
        <v>0</v>
      </c>
      <c r="P19" s="9"/>
      <c r="Q19" s="9"/>
      <c r="R19" s="9"/>
      <c r="S19" s="9"/>
      <c r="T19" s="9"/>
      <c r="U19" s="9">
        <f>O19*$Y$2</f>
        <v>0</v>
      </c>
      <c r="V19" s="9">
        <f t="shared" ref="V19:V33" si="21">U19+O19</f>
        <v>0</v>
      </c>
      <c r="W19" s="9">
        <f t="shared" ref="W19:W33" si="22">K19</f>
        <v>0</v>
      </c>
      <c r="X19" s="9">
        <f t="shared" ref="X19:X30" si="23">V19-I19</f>
        <v>0</v>
      </c>
      <c r="Y19" s="9">
        <f t="shared" ref="Y19:Y33" si="24">V19-W19-X19</f>
        <v>0</v>
      </c>
      <c r="Z19" s="7">
        <f t="shared" ref="Z19:Z33" si="25">$M$2*B19</f>
        <v>0</v>
      </c>
    </row>
    <row r="20" spans="1:26">
      <c r="A20" s="17"/>
      <c r="B20" s="15"/>
      <c r="C20" s="6" t="s">
        <v>33</v>
      </c>
      <c r="D20" s="6" t="s">
        <v>34</v>
      </c>
      <c r="G20" s="7">
        <f t="shared" si="16"/>
        <v>0</v>
      </c>
      <c r="H20" s="7">
        <f t="shared" si="17"/>
        <v>0</v>
      </c>
      <c r="I20" s="8">
        <f t="shared" si="18"/>
        <v>0</v>
      </c>
      <c r="J20" s="1"/>
      <c r="K20" s="9">
        <f t="shared" si="19"/>
        <v>0</v>
      </c>
      <c r="L20" s="16"/>
      <c r="M20" s="9"/>
      <c r="N20" s="9"/>
      <c r="O20" s="9">
        <f t="shared" si="20"/>
        <v>0</v>
      </c>
      <c r="P20" s="9"/>
      <c r="Q20" s="9"/>
      <c r="R20" s="9"/>
      <c r="S20" s="9"/>
      <c r="T20" s="9"/>
      <c r="U20" s="9">
        <f t="shared" ref="U20:U30" si="26">O20*$Y$2</f>
        <v>0</v>
      </c>
      <c r="V20" s="9">
        <f t="shared" si="21"/>
        <v>0</v>
      </c>
      <c r="W20" s="9">
        <f t="shared" si="22"/>
        <v>0</v>
      </c>
      <c r="X20" s="9">
        <f t="shared" si="23"/>
        <v>0</v>
      </c>
      <c r="Y20" s="9">
        <f t="shared" si="24"/>
        <v>0</v>
      </c>
      <c r="Z20" s="7">
        <f t="shared" si="25"/>
        <v>0</v>
      </c>
    </row>
    <row r="21" spans="1:26">
      <c r="A21" s="17"/>
      <c r="B21" s="15"/>
      <c r="C21" s="6" t="s">
        <v>33</v>
      </c>
      <c r="D21" s="6" t="s">
        <v>34</v>
      </c>
      <c r="G21" s="7">
        <f t="shared" si="16"/>
        <v>0</v>
      </c>
      <c r="H21" s="7">
        <f t="shared" si="17"/>
        <v>0</v>
      </c>
      <c r="I21" s="8">
        <f t="shared" si="18"/>
        <v>0</v>
      </c>
      <c r="J21" s="1"/>
      <c r="K21" s="9">
        <f t="shared" si="19"/>
        <v>0</v>
      </c>
      <c r="L21" s="16"/>
      <c r="M21" s="9">
        <f>F21-F20</f>
        <v>0</v>
      </c>
      <c r="N21" s="9"/>
      <c r="O21" s="9">
        <f t="shared" si="20"/>
        <v>0</v>
      </c>
      <c r="P21" s="9"/>
      <c r="Q21" s="9"/>
      <c r="R21" s="9"/>
      <c r="S21" s="9"/>
      <c r="T21" s="9"/>
      <c r="U21" s="9">
        <f t="shared" si="26"/>
        <v>0</v>
      </c>
      <c r="V21" s="9">
        <f t="shared" si="21"/>
        <v>0</v>
      </c>
      <c r="W21" s="9">
        <f t="shared" si="22"/>
        <v>0</v>
      </c>
      <c r="X21" s="9">
        <f t="shared" si="23"/>
        <v>0</v>
      </c>
      <c r="Y21" s="9">
        <f t="shared" si="24"/>
        <v>0</v>
      </c>
      <c r="Z21" s="7">
        <f t="shared" si="25"/>
        <v>0</v>
      </c>
    </row>
    <row r="22" spans="1:26">
      <c r="A22" s="17"/>
      <c r="B22" s="15"/>
      <c r="C22" s="6" t="s">
        <v>33</v>
      </c>
      <c r="D22" s="6" t="s">
        <v>34</v>
      </c>
      <c r="G22" s="7">
        <f t="shared" si="16"/>
        <v>0</v>
      </c>
      <c r="H22" s="7">
        <f t="shared" si="17"/>
        <v>0</v>
      </c>
      <c r="I22" s="8">
        <f t="shared" si="18"/>
        <v>0</v>
      </c>
      <c r="J22" s="1"/>
      <c r="K22" s="9">
        <f t="shared" si="19"/>
        <v>0</v>
      </c>
      <c r="L22" s="16"/>
      <c r="M22" s="9"/>
      <c r="N22" s="9"/>
      <c r="O22" s="9">
        <f t="shared" si="20"/>
        <v>0</v>
      </c>
      <c r="P22" s="9"/>
      <c r="Q22" s="9"/>
      <c r="R22" s="9"/>
      <c r="S22" s="9"/>
      <c r="T22" s="9"/>
      <c r="U22" s="9">
        <f t="shared" si="26"/>
        <v>0</v>
      </c>
      <c r="V22" s="9">
        <f t="shared" si="21"/>
        <v>0</v>
      </c>
      <c r="W22" s="9">
        <f t="shared" si="22"/>
        <v>0</v>
      </c>
      <c r="X22" s="9">
        <f t="shared" si="23"/>
        <v>0</v>
      </c>
      <c r="Y22" s="9">
        <f t="shared" si="24"/>
        <v>0</v>
      </c>
      <c r="Z22" s="7">
        <f t="shared" si="25"/>
        <v>0</v>
      </c>
    </row>
    <row r="23" spans="1:26">
      <c r="A23" s="17"/>
      <c r="B23" s="15"/>
      <c r="C23" s="6" t="s">
        <v>33</v>
      </c>
      <c r="D23" s="6" t="s">
        <v>34</v>
      </c>
      <c r="G23" s="7">
        <f t="shared" si="16"/>
        <v>0</v>
      </c>
      <c r="H23" s="7">
        <f t="shared" si="17"/>
        <v>0</v>
      </c>
      <c r="I23" s="8">
        <f t="shared" si="18"/>
        <v>0</v>
      </c>
      <c r="J23" s="1"/>
      <c r="K23" s="9">
        <f t="shared" si="19"/>
        <v>0</v>
      </c>
      <c r="L23" s="16"/>
      <c r="M23" s="9"/>
      <c r="N23" s="9"/>
      <c r="O23" s="9">
        <f t="shared" si="20"/>
        <v>0</v>
      </c>
      <c r="P23" s="9"/>
      <c r="Q23" s="9"/>
      <c r="R23" s="9"/>
      <c r="S23" s="9"/>
      <c r="T23" s="9"/>
      <c r="U23" s="9">
        <f t="shared" si="26"/>
        <v>0</v>
      </c>
      <c r="V23" s="9">
        <f t="shared" si="21"/>
        <v>0</v>
      </c>
      <c r="W23" s="9">
        <f t="shared" si="22"/>
        <v>0</v>
      </c>
      <c r="X23" s="9">
        <f t="shared" si="23"/>
        <v>0</v>
      </c>
      <c r="Y23" s="9">
        <f t="shared" si="24"/>
        <v>0</v>
      </c>
      <c r="Z23" s="7">
        <f t="shared" si="25"/>
        <v>0</v>
      </c>
    </row>
    <row r="24" spans="1:26">
      <c r="A24" s="17"/>
      <c r="B24" s="15"/>
      <c r="C24" s="6" t="s">
        <v>33</v>
      </c>
      <c r="D24" s="6" t="s">
        <v>34</v>
      </c>
      <c r="G24" s="7">
        <f t="shared" si="16"/>
        <v>0</v>
      </c>
      <c r="H24" s="7">
        <f t="shared" si="17"/>
        <v>0</v>
      </c>
      <c r="I24" s="8">
        <f t="shared" si="18"/>
        <v>0</v>
      </c>
      <c r="J24" s="1"/>
      <c r="K24" s="9">
        <f t="shared" si="19"/>
        <v>0</v>
      </c>
      <c r="L24" s="16"/>
      <c r="M24" s="9">
        <f t="shared" ref="M24:M33" si="27">F24-F23</f>
        <v>0</v>
      </c>
      <c r="N24" s="9"/>
      <c r="O24" s="9">
        <f t="shared" si="20"/>
        <v>0</v>
      </c>
      <c r="P24" s="9"/>
      <c r="Q24" s="9"/>
      <c r="R24" s="9"/>
      <c r="S24" s="9"/>
      <c r="T24" s="9"/>
      <c r="U24" s="9">
        <f t="shared" si="26"/>
        <v>0</v>
      </c>
      <c r="V24" s="9">
        <f t="shared" si="21"/>
        <v>0</v>
      </c>
      <c r="W24" s="9">
        <f t="shared" si="22"/>
        <v>0</v>
      </c>
      <c r="X24" s="9">
        <f t="shared" si="23"/>
        <v>0</v>
      </c>
      <c r="Y24" s="9">
        <f t="shared" si="24"/>
        <v>0</v>
      </c>
      <c r="Z24" s="7">
        <f t="shared" si="25"/>
        <v>0</v>
      </c>
    </row>
    <row r="25" spans="1:26">
      <c r="A25" s="44">
        <v>45108</v>
      </c>
      <c r="B25" s="15">
        <v>1</v>
      </c>
      <c r="C25" s="6" t="s">
        <v>33</v>
      </c>
      <c r="D25" s="6" t="s">
        <v>34</v>
      </c>
      <c r="F25" s="19">
        <v>2245.27</v>
      </c>
      <c r="G25" s="7">
        <f t="shared" si="16"/>
        <v>1727.1307692307694</v>
      </c>
      <c r="H25" s="7">
        <f t="shared" si="17"/>
        <v>328.15484615384617</v>
      </c>
      <c r="I25" s="8">
        <f t="shared" si="18"/>
        <v>2055.2856153846155</v>
      </c>
      <c r="J25" s="1">
        <v>100</v>
      </c>
      <c r="K25" s="9">
        <f t="shared" si="19"/>
        <v>2055.2856153846155</v>
      </c>
      <c r="L25" s="16"/>
      <c r="M25" s="49"/>
      <c r="N25" s="9"/>
      <c r="O25" s="9">
        <f t="shared" si="20"/>
        <v>1727.1307692307694</v>
      </c>
      <c r="P25" s="9"/>
      <c r="Q25" s="9"/>
      <c r="R25" s="9"/>
      <c r="S25" s="9"/>
      <c r="T25" s="9"/>
      <c r="U25" s="9">
        <f t="shared" si="26"/>
        <v>411.31619269230771</v>
      </c>
      <c r="V25" s="9">
        <f t="shared" si="21"/>
        <v>2138.4469619230772</v>
      </c>
      <c r="W25" s="9">
        <f t="shared" si="22"/>
        <v>2055.2856153846155</v>
      </c>
      <c r="X25" s="9">
        <f t="shared" si="23"/>
        <v>83.161346538461657</v>
      </c>
      <c r="Y25" s="9">
        <f t="shared" si="24"/>
        <v>0</v>
      </c>
      <c r="Z25" s="7">
        <f t="shared" si="25"/>
        <v>221</v>
      </c>
    </row>
    <row r="26" spans="1:26">
      <c r="A26" s="17">
        <v>45169</v>
      </c>
      <c r="B26" s="15">
        <v>1</v>
      </c>
      <c r="C26" s="6" t="s">
        <v>33</v>
      </c>
      <c r="D26" s="6" t="s">
        <v>34</v>
      </c>
      <c r="F26" s="19">
        <v>2245.27</v>
      </c>
      <c r="G26" s="7">
        <f t="shared" si="16"/>
        <v>1727.1307692307694</v>
      </c>
      <c r="H26" s="7">
        <f t="shared" si="17"/>
        <v>328.15484615384617</v>
      </c>
      <c r="I26" s="8">
        <f t="shared" si="18"/>
        <v>2055.2856153846155</v>
      </c>
      <c r="J26" s="1">
        <v>100</v>
      </c>
      <c r="K26" s="9">
        <f t="shared" si="19"/>
        <v>2055.2856153846155</v>
      </c>
      <c r="L26" s="16"/>
      <c r="M26" s="9"/>
      <c r="N26" s="9"/>
      <c r="O26" s="9">
        <f t="shared" si="20"/>
        <v>1727.1307692307694</v>
      </c>
      <c r="P26" s="9"/>
      <c r="Q26" s="9"/>
      <c r="R26" s="9"/>
      <c r="S26" s="9"/>
      <c r="T26" s="9"/>
      <c r="U26" s="9">
        <f t="shared" si="26"/>
        <v>411.31619269230771</v>
      </c>
      <c r="V26" s="9">
        <f t="shared" si="21"/>
        <v>2138.4469619230772</v>
      </c>
      <c r="W26" s="9">
        <f t="shared" si="22"/>
        <v>2055.2856153846155</v>
      </c>
      <c r="X26" s="9">
        <f t="shared" si="23"/>
        <v>83.161346538461657</v>
      </c>
      <c r="Y26" s="9">
        <f t="shared" si="24"/>
        <v>0</v>
      </c>
      <c r="Z26" s="7">
        <f t="shared" si="25"/>
        <v>221</v>
      </c>
    </row>
    <row r="27" spans="1:26">
      <c r="A27" s="17">
        <v>45199</v>
      </c>
      <c r="B27" s="15">
        <v>1</v>
      </c>
      <c r="C27" s="6" t="s">
        <v>33</v>
      </c>
      <c r="D27" s="6" t="s">
        <v>34</v>
      </c>
      <c r="F27" s="19">
        <v>2245.27</v>
      </c>
      <c r="G27" s="7">
        <f t="shared" si="16"/>
        <v>1727.1307692307694</v>
      </c>
      <c r="H27" s="7">
        <f t="shared" si="17"/>
        <v>328.15484615384617</v>
      </c>
      <c r="I27" s="8">
        <f t="shared" si="18"/>
        <v>2055.2856153846155</v>
      </c>
      <c r="J27" s="1">
        <v>100</v>
      </c>
      <c r="K27" s="9">
        <f t="shared" si="19"/>
        <v>2055.2856153846155</v>
      </c>
      <c r="L27" s="16"/>
      <c r="M27" s="9">
        <f t="shared" ref="M27:M33" si="28">F27-F26</f>
        <v>0</v>
      </c>
      <c r="N27" s="9"/>
      <c r="O27" s="9">
        <f t="shared" si="20"/>
        <v>1727.1307692307694</v>
      </c>
      <c r="P27" s="9"/>
      <c r="Q27" s="9"/>
      <c r="R27" s="9"/>
      <c r="S27" s="9"/>
      <c r="T27" s="9"/>
      <c r="U27" s="9">
        <f t="shared" si="26"/>
        <v>411.31619269230771</v>
      </c>
      <c r="V27" s="9">
        <f t="shared" si="21"/>
        <v>2138.4469619230772</v>
      </c>
      <c r="W27" s="9">
        <f t="shared" si="22"/>
        <v>2055.2856153846155</v>
      </c>
      <c r="X27" s="9">
        <f t="shared" si="23"/>
        <v>83.161346538461657</v>
      </c>
      <c r="Y27" s="9">
        <f t="shared" si="24"/>
        <v>0</v>
      </c>
      <c r="Z27" s="7">
        <f t="shared" si="25"/>
        <v>221</v>
      </c>
    </row>
    <row r="28" spans="1:26">
      <c r="A28" s="17">
        <v>45230</v>
      </c>
      <c r="B28" s="15">
        <v>1</v>
      </c>
      <c r="C28" s="6" t="s">
        <v>33</v>
      </c>
      <c r="D28" s="6" t="s">
        <v>34</v>
      </c>
      <c r="E28" s="6"/>
      <c r="F28" s="19">
        <v>2245.27</v>
      </c>
      <c r="G28" s="7">
        <f t="shared" si="16"/>
        <v>1727.1307692307694</v>
      </c>
      <c r="H28" s="7">
        <f t="shared" si="17"/>
        <v>328.15484615384617</v>
      </c>
      <c r="I28" s="8">
        <f t="shared" si="18"/>
        <v>2055.2856153846155</v>
      </c>
      <c r="J28" s="1">
        <v>100</v>
      </c>
      <c r="K28" s="9">
        <f t="shared" si="19"/>
        <v>2055.2856153846155</v>
      </c>
      <c r="L28" s="16"/>
      <c r="M28" s="9"/>
      <c r="N28" s="9"/>
      <c r="O28" s="9">
        <f t="shared" si="20"/>
        <v>1727.1307692307694</v>
      </c>
      <c r="P28" s="9"/>
      <c r="Q28" s="9"/>
      <c r="R28" s="9"/>
      <c r="S28" s="9"/>
      <c r="T28" s="9"/>
      <c r="U28" s="9">
        <f t="shared" si="26"/>
        <v>411.31619269230771</v>
      </c>
      <c r="V28" s="9">
        <f t="shared" si="21"/>
        <v>2138.4469619230772</v>
      </c>
      <c r="W28" s="9">
        <f t="shared" si="22"/>
        <v>2055.2856153846155</v>
      </c>
      <c r="X28" s="9">
        <f t="shared" si="23"/>
        <v>83.161346538461657</v>
      </c>
      <c r="Y28" s="9">
        <f t="shared" si="24"/>
        <v>0</v>
      </c>
      <c r="Z28" s="7">
        <f t="shared" si="25"/>
        <v>221</v>
      </c>
    </row>
    <row r="29" spans="1:26">
      <c r="A29" s="17">
        <v>45260</v>
      </c>
      <c r="B29" s="15">
        <v>1</v>
      </c>
      <c r="C29" s="6" t="s">
        <v>33</v>
      </c>
      <c r="D29" s="6" t="s">
        <v>34</v>
      </c>
      <c r="E29" s="6"/>
      <c r="F29" s="19">
        <v>2245.27</v>
      </c>
      <c r="G29" s="7">
        <f t="shared" si="16"/>
        <v>1727.1307692307694</v>
      </c>
      <c r="H29" s="7">
        <f t="shared" si="17"/>
        <v>328.15484615384617</v>
      </c>
      <c r="I29" s="8">
        <f t="shared" si="18"/>
        <v>2055.2856153846155</v>
      </c>
      <c r="J29" s="1">
        <v>100</v>
      </c>
      <c r="K29" s="9">
        <f t="shared" si="19"/>
        <v>2055.2856153846155</v>
      </c>
      <c r="L29" s="16"/>
      <c r="M29" s="9"/>
      <c r="N29" s="9"/>
      <c r="O29" s="9">
        <f t="shared" si="20"/>
        <v>1727.1307692307694</v>
      </c>
      <c r="P29" s="9"/>
      <c r="Q29" s="9"/>
      <c r="R29" s="9"/>
      <c r="S29" s="9"/>
      <c r="T29" s="9"/>
      <c r="U29" s="9">
        <f t="shared" si="26"/>
        <v>411.31619269230771</v>
      </c>
      <c r="V29" s="9">
        <f t="shared" si="21"/>
        <v>2138.4469619230772</v>
      </c>
      <c r="W29" s="9">
        <f t="shared" si="22"/>
        <v>2055.2856153846155</v>
      </c>
      <c r="X29" s="9">
        <f t="shared" si="23"/>
        <v>83.161346538461657</v>
      </c>
      <c r="Y29" s="9">
        <f t="shared" si="24"/>
        <v>0</v>
      </c>
      <c r="Z29" s="7">
        <f t="shared" si="25"/>
        <v>221</v>
      </c>
    </row>
    <row r="30" spans="1:26">
      <c r="A30" s="17">
        <v>45291</v>
      </c>
      <c r="B30" s="15">
        <v>1</v>
      </c>
      <c r="C30" s="6" t="s">
        <v>33</v>
      </c>
      <c r="D30" s="6" t="s">
        <v>34</v>
      </c>
      <c r="E30" s="6"/>
      <c r="F30" s="19">
        <v>2245.27</v>
      </c>
      <c r="G30" s="7">
        <f t="shared" si="16"/>
        <v>1727.1307692307694</v>
      </c>
      <c r="H30" s="7">
        <f t="shared" si="17"/>
        <v>328.15484615384617</v>
      </c>
      <c r="I30" s="8">
        <f t="shared" si="18"/>
        <v>2055.2856153846155</v>
      </c>
      <c r="J30" s="1">
        <v>100</v>
      </c>
      <c r="K30" s="9">
        <f t="shared" si="19"/>
        <v>2055.2856153846155</v>
      </c>
      <c r="L30" s="16"/>
      <c r="M30" s="9"/>
      <c r="N30" s="9"/>
      <c r="O30" s="9">
        <f t="shared" si="20"/>
        <v>1727.1307692307694</v>
      </c>
      <c r="P30" s="9"/>
      <c r="Q30" s="9"/>
      <c r="R30" s="9"/>
      <c r="S30" s="9"/>
      <c r="T30" s="9"/>
      <c r="U30" s="9">
        <f t="shared" si="26"/>
        <v>411.31619269230771</v>
      </c>
      <c r="V30" s="9">
        <f t="shared" si="21"/>
        <v>2138.4469619230772</v>
      </c>
      <c r="W30" s="9">
        <f t="shared" si="22"/>
        <v>2055.2856153846155</v>
      </c>
      <c r="X30" s="9">
        <f t="shared" si="23"/>
        <v>83.161346538461657</v>
      </c>
      <c r="Y30" s="9">
        <f t="shared" si="24"/>
        <v>0</v>
      </c>
      <c r="Z30" s="7">
        <f t="shared" si="25"/>
        <v>221</v>
      </c>
    </row>
    <row r="31" spans="1:26">
      <c r="A31" s="17"/>
      <c r="B31" s="15"/>
      <c r="C31" s="6"/>
      <c r="D31" s="6"/>
      <c r="E31" s="6"/>
      <c r="F31" s="19"/>
      <c r="G31" s="7"/>
      <c r="H31" s="7"/>
      <c r="I31" s="8"/>
      <c r="J31" s="1"/>
      <c r="K31" s="9"/>
      <c r="L31" s="16">
        <f>SUM(B19:B30)</f>
        <v>6</v>
      </c>
      <c r="M31" s="9"/>
      <c r="N31" s="9"/>
      <c r="O31" s="21" t="s">
        <v>35</v>
      </c>
      <c r="P31" s="21"/>
      <c r="Q31" s="21"/>
      <c r="R31" s="21"/>
      <c r="S31" s="21"/>
      <c r="T31" s="21"/>
      <c r="U31" s="21"/>
      <c r="V31" s="21"/>
      <c r="W31" s="21"/>
      <c r="X31" s="21">
        <f>IF(V30&gt;0,O27*85%*(L31/12),0)</f>
        <v>734.03057692307698</v>
      </c>
      <c r="Y31" s="22"/>
      <c r="Z31" s="21"/>
    </row>
    <row r="32" spans="1:26">
      <c r="A32" s="17"/>
      <c r="B32" s="15"/>
      <c r="C32" s="6"/>
      <c r="D32" s="6"/>
      <c r="E32" s="6"/>
      <c r="F32" s="19"/>
      <c r="G32" s="7"/>
      <c r="H32" s="7"/>
      <c r="I32" s="8"/>
      <c r="J32" s="1"/>
      <c r="K32" s="9"/>
      <c r="M32" s="9"/>
      <c r="N32" s="9"/>
      <c r="O32" s="21" t="s">
        <v>36</v>
      </c>
      <c r="P32" s="21"/>
      <c r="Q32" s="21"/>
      <c r="R32" s="21"/>
      <c r="S32" s="21"/>
      <c r="T32" s="21"/>
      <c r="U32" s="21"/>
      <c r="V32" s="22"/>
      <c r="W32" s="21"/>
      <c r="X32" s="21">
        <f>IF(V30&gt;0,U27*85%*(L31/12),0)</f>
        <v>174.80938189423077</v>
      </c>
      <c r="Y32" s="22"/>
      <c r="Z32" s="21"/>
    </row>
    <row r="33" spans="1:26">
      <c r="A33" s="17"/>
      <c r="B33" s="15"/>
      <c r="C33" s="6"/>
      <c r="D33" s="6"/>
      <c r="E33" s="6"/>
      <c r="F33" s="19"/>
      <c r="G33" s="7"/>
      <c r="H33" s="7"/>
      <c r="I33" s="8"/>
      <c r="J33" s="1"/>
      <c r="K33" s="9"/>
      <c r="L33" s="16"/>
      <c r="M33" s="9"/>
      <c r="N33" s="9"/>
      <c r="O33" s="10">
        <f>SUM(O19:O30)</f>
        <v>10362.784615384617</v>
      </c>
      <c r="P33" s="10">
        <f t="shared" ref="P33:U33" si="29">SUM(P19:P32)</f>
        <v>0</v>
      </c>
      <c r="Q33" s="10">
        <f t="shared" si="29"/>
        <v>0</v>
      </c>
      <c r="R33" s="10">
        <f t="shared" si="29"/>
        <v>0</v>
      </c>
      <c r="S33" s="10">
        <f t="shared" si="29"/>
        <v>0</v>
      </c>
      <c r="T33" s="10">
        <f t="shared" si="29"/>
        <v>0</v>
      </c>
      <c r="U33" s="10">
        <f t="shared" si="29"/>
        <v>2467.897156153846</v>
      </c>
      <c r="V33" s="10">
        <f>SUM(V19:V30)</f>
        <v>12830.681771538462</v>
      </c>
      <c r="W33" s="10">
        <f t="shared" ref="W33" si="30">SUM(W19:W32)</f>
        <v>12331.713692307692</v>
      </c>
      <c r="X33" s="10">
        <f>SUM(X19:X32)</f>
        <v>1407.8080380480776</v>
      </c>
      <c r="Y33" s="10">
        <f>SUM(Y19:Y32)</f>
        <v>0</v>
      </c>
      <c r="Z33" s="10">
        <f t="shared" ref="Z33" si="31">SUM(Z19:Z32)</f>
        <v>1326</v>
      </c>
    </row>
    <row r="34" spans="1:26">
      <c r="A34" s="17">
        <v>45322</v>
      </c>
      <c r="B34" s="15">
        <v>1</v>
      </c>
      <c r="C34" s="6" t="s">
        <v>33</v>
      </c>
      <c r="D34" s="6" t="s">
        <v>34</v>
      </c>
      <c r="F34" s="19">
        <v>2245.27</v>
      </c>
      <c r="G34" s="7">
        <f t="shared" ref="G34:G45" si="32">F34*($J$2/39)*B34</f>
        <v>1727.1307692307694</v>
      </c>
      <c r="H34" s="7">
        <f t="shared" ref="H34:H45" si="33">SUM(G34:G34)*19%</f>
        <v>328.15484615384617</v>
      </c>
      <c r="I34" s="8">
        <f t="shared" ref="I34:I45" si="34">SUM(G34:H34)</f>
        <v>2055.2856153846155</v>
      </c>
      <c r="J34" s="1">
        <v>100</v>
      </c>
      <c r="K34" s="9">
        <f t="shared" ref="K34:K45" si="35">I34*J34%</f>
        <v>2055.2856153846155</v>
      </c>
      <c r="L34" s="16"/>
      <c r="M34" s="9"/>
      <c r="N34" s="9"/>
      <c r="O34" s="9">
        <f t="shared" ref="O34:O45" si="36">SUM(G34:G34)</f>
        <v>1727.1307692307694</v>
      </c>
      <c r="P34" s="9"/>
      <c r="Q34" s="9"/>
      <c r="R34" s="9"/>
      <c r="S34" s="9"/>
      <c r="T34" s="9"/>
      <c r="U34" s="9">
        <f>O34*$Y$2</f>
        <v>411.31619269230771</v>
      </c>
      <c r="V34" s="9">
        <f t="shared" ref="V34:V45" si="37">U34+O34</f>
        <v>2138.4469619230772</v>
      </c>
      <c r="W34" s="9">
        <f t="shared" ref="W34:W45" si="38">K34</f>
        <v>2055.2856153846155</v>
      </c>
      <c r="X34" s="9">
        <f t="shared" ref="X34:X45" si="39">V34-I34</f>
        <v>83.161346538461657</v>
      </c>
      <c r="Y34" s="9">
        <f t="shared" ref="Y34:Y45" si="40">V34-W34-X34</f>
        <v>0</v>
      </c>
      <c r="Z34" s="7">
        <f t="shared" ref="Z34:Z45" si="41">$M$2*B34</f>
        <v>221</v>
      </c>
    </row>
    <row r="35" spans="1:26">
      <c r="A35" s="17">
        <v>45350</v>
      </c>
      <c r="B35" s="15">
        <v>1</v>
      </c>
      <c r="C35" s="6" t="s">
        <v>33</v>
      </c>
      <c r="D35" s="6" t="s">
        <v>34</v>
      </c>
      <c r="F35" s="19">
        <v>2245.27</v>
      </c>
      <c r="G35" s="7">
        <f t="shared" si="32"/>
        <v>1727.1307692307694</v>
      </c>
      <c r="H35" s="7">
        <f t="shared" si="33"/>
        <v>328.15484615384617</v>
      </c>
      <c r="I35" s="8">
        <f t="shared" si="34"/>
        <v>2055.2856153846155</v>
      </c>
      <c r="J35" s="1">
        <v>100</v>
      </c>
      <c r="K35" s="9">
        <f t="shared" si="35"/>
        <v>2055.2856153846155</v>
      </c>
      <c r="L35" s="16"/>
      <c r="M35" s="9"/>
      <c r="N35" s="9"/>
      <c r="O35" s="9">
        <f t="shared" si="36"/>
        <v>1727.1307692307694</v>
      </c>
      <c r="P35" s="9"/>
      <c r="Q35" s="9"/>
      <c r="R35" s="9"/>
      <c r="S35" s="9"/>
      <c r="T35" s="9"/>
      <c r="U35" s="9">
        <f t="shared" ref="U35:U45" si="42">O35*$Y$2</f>
        <v>411.31619269230771</v>
      </c>
      <c r="V35" s="9">
        <f t="shared" si="37"/>
        <v>2138.4469619230772</v>
      </c>
      <c r="W35" s="9">
        <f t="shared" si="38"/>
        <v>2055.2856153846155</v>
      </c>
      <c r="X35" s="9">
        <f t="shared" si="39"/>
        <v>83.161346538461657</v>
      </c>
      <c r="Y35" s="9">
        <f t="shared" si="40"/>
        <v>0</v>
      </c>
      <c r="Z35" s="7">
        <f t="shared" si="41"/>
        <v>221</v>
      </c>
    </row>
    <row r="36" spans="1:26">
      <c r="A36" s="17">
        <v>45382</v>
      </c>
      <c r="B36" s="15">
        <v>1</v>
      </c>
      <c r="C36" s="6" t="s">
        <v>33</v>
      </c>
      <c r="D36" s="6" t="s">
        <v>34</v>
      </c>
      <c r="F36" s="19">
        <v>2245.27</v>
      </c>
      <c r="G36" s="7">
        <f t="shared" si="32"/>
        <v>1727.1307692307694</v>
      </c>
      <c r="H36" s="7">
        <f t="shared" si="33"/>
        <v>328.15484615384617</v>
      </c>
      <c r="I36" s="8">
        <f t="shared" si="34"/>
        <v>2055.2856153846155</v>
      </c>
      <c r="J36" s="1">
        <v>100</v>
      </c>
      <c r="K36" s="9">
        <f t="shared" si="35"/>
        <v>2055.2856153846155</v>
      </c>
      <c r="L36" s="16"/>
      <c r="M36" s="9">
        <f>F36-F35</f>
        <v>0</v>
      </c>
      <c r="N36" s="9"/>
      <c r="O36" s="9">
        <f t="shared" si="36"/>
        <v>1727.1307692307694</v>
      </c>
      <c r="P36" s="9"/>
      <c r="Q36" s="9"/>
      <c r="R36" s="9"/>
      <c r="S36" s="9"/>
      <c r="T36" s="9"/>
      <c r="U36" s="9">
        <f t="shared" si="42"/>
        <v>411.31619269230771</v>
      </c>
      <c r="V36" s="9">
        <f t="shared" si="37"/>
        <v>2138.4469619230772</v>
      </c>
      <c r="W36" s="9">
        <f t="shared" si="38"/>
        <v>2055.2856153846155</v>
      </c>
      <c r="X36" s="9">
        <f t="shared" si="39"/>
        <v>83.161346538461657</v>
      </c>
      <c r="Y36" s="9">
        <f t="shared" si="40"/>
        <v>0</v>
      </c>
      <c r="Z36" s="7">
        <f t="shared" si="41"/>
        <v>221</v>
      </c>
    </row>
    <row r="37" spans="1:26">
      <c r="A37" s="17">
        <v>45412</v>
      </c>
      <c r="B37" s="15">
        <v>1</v>
      </c>
      <c r="C37" s="6" t="s">
        <v>33</v>
      </c>
      <c r="D37" s="6" t="s">
        <v>34</v>
      </c>
      <c r="F37" s="19">
        <v>2245.27</v>
      </c>
      <c r="G37" s="7">
        <f t="shared" si="32"/>
        <v>1727.1307692307694</v>
      </c>
      <c r="H37" s="7">
        <f t="shared" si="33"/>
        <v>328.15484615384617</v>
      </c>
      <c r="I37" s="8">
        <f t="shared" si="34"/>
        <v>2055.2856153846155</v>
      </c>
      <c r="J37" s="1">
        <v>100</v>
      </c>
      <c r="K37" s="9">
        <f t="shared" si="35"/>
        <v>2055.2856153846155</v>
      </c>
      <c r="L37" s="16"/>
      <c r="M37" s="9"/>
      <c r="N37" s="9"/>
      <c r="O37" s="9">
        <f t="shared" si="36"/>
        <v>1727.1307692307694</v>
      </c>
      <c r="P37" s="9"/>
      <c r="Q37" s="9"/>
      <c r="R37" s="9"/>
      <c r="S37" s="9"/>
      <c r="T37" s="9"/>
      <c r="U37" s="9">
        <f t="shared" si="42"/>
        <v>411.31619269230771</v>
      </c>
      <c r="V37" s="9">
        <f t="shared" si="37"/>
        <v>2138.4469619230772</v>
      </c>
      <c r="W37" s="9">
        <f t="shared" si="38"/>
        <v>2055.2856153846155</v>
      </c>
      <c r="X37" s="9">
        <f t="shared" si="39"/>
        <v>83.161346538461657</v>
      </c>
      <c r="Y37" s="9">
        <f t="shared" si="40"/>
        <v>0</v>
      </c>
      <c r="Z37" s="7">
        <f t="shared" si="41"/>
        <v>221</v>
      </c>
    </row>
    <row r="38" spans="1:26">
      <c r="A38" s="17">
        <v>45443</v>
      </c>
      <c r="B38" s="15">
        <v>1</v>
      </c>
      <c r="C38" s="6" t="s">
        <v>33</v>
      </c>
      <c r="D38" s="6" t="s">
        <v>34</v>
      </c>
      <c r="F38" s="19">
        <v>2245.27</v>
      </c>
      <c r="G38" s="7">
        <f t="shared" si="32"/>
        <v>1727.1307692307694</v>
      </c>
      <c r="H38" s="7">
        <f t="shared" si="33"/>
        <v>328.15484615384617</v>
      </c>
      <c r="I38" s="8">
        <f t="shared" si="34"/>
        <v>2055.2856153846155</v>
      </c>
      <c r="J38" s="1">
        <v>100</v>
      </c>
      <c r="K38" s="9">
        <f t="shared" si="35"/>
        <v>2055.2856153846155</v>
      </c>
      <c r="L38" s="16"/>
      <c r="M38" s="9"/>
      <c r="N38" s="9"/>
      <c r="O38" s="9">
        <f t="shared" si="36"/>
        <v>1727.1307692307694</v>
      </c>
      <c r="P38" s="9"/>
      <c r="Q38" s="9"/>
      <c r="R38" s="9"/>
      <c r="S38" s="9"/>
      <c r="T38" s="9"/>
      <c r="U38" s="9">
        <f t="shared" si="42"/>
        <v>411.31619269230771</v>
      </c>
      <c r="V38" s="9">
        <f t="shared" si="37"/>
        <v>2138.4469619230772</v>
      </c>
      <c r="W38" s="9">
        <f t="shared" si="38"/>
        <v>2055.2856153846155</v>
      </c>
      <c r="X38" s="9">
        <f t="shared" si="39"/>
        <v>83.161346538461657</v>
      </c>
      <c r="Y38" s="9">
        <f t="shared" si="40"/>
        <v>0</v>
      </c>
      <c r="Z38" s="7">
        <f t="shared" si="41"/>
        <v>221</v>
      </c>
    </row>
    <row r="39" spans="1:26">
      <c r="A39" s="17">
        <v>45473</v>
      </c>
      <c r="B39" s="15">
        <v>1</v>
      </c>
      <c r="C39" s="6" t="s">
        <v>33</v>
      </c>
      <c r="D39" s="6" t="s">
        <v>34</v>
      </c>
      <c r="F39" s="19">
        <v>2245.27</v>
      </c>
      <c r="G39" s="7">
        <f t="shared" si="32"/>
        <v>1727.1307692307694</v>
      </c>
      <c r="H39" s="7">
        <f t="shared" si="33"/>
        <v>328.15484615384617</v>
      </c>
      <c r="I39" s="8">
        <f t="shared" si="34"/>
        <v>2055.2856153846155</v>
      </c>
      <c r="J39" s="1">
        <v>100</v>
      </c>
      <c r="K39" s="9">
        <f t="shared" si="35"/>
        <v>2055.2856153846155</v>
      </c>
      <c r="L39" s="16"/>
      <c r="M39" s="9">
        <f t="shared" ref="M39" si="43">F39-F38</f>
        <v>0</v>
      </c>
      <c r="N39" s="9"/>
      <c r="O39" s="9">
        <f t="shared" si="36"/>
        <v>1727.1307692307694</v>
      </c>
      <c r="P39" s="9"/>
      <c r="Q39" s="9"/>
      <c r="R39" s="9"/>
      <c r="S39" s="9"/>
      <c r="T39" s="9"/>
      <c r="U39" s="9">
        <f t="shared" si="42"/>
        <v>411.31619269230771</v>
      </c>
      <c r="V39" s="9">
        <f t="shared" si="37"/>
        <v>2138.4469619230772</v>
      </c>
      <c r="W39" s="9">
        <f t="shared" si="38"/>
        <v>2055.2856153846155</v>
      </c>
      <c r="X39" s="9">
        <f t="shared" si="39"/>
        <v>83.161346538461657</v>
      </c>
      <c r="Y39" s="9">
        <f t="shared" si="40"/>
        <v>0</v>
      </c>
      <c r="Z39" s="7">
        <f t="shared" si="41"/>
        <v>221</v>
      </c>
    </row>
    <row r="40" spans="1:26">
      <c r="A40" s="46">
        <v>45504</v>
      </c>
      <c r="B40" s="15">
        <v>1</v>
      </c>
      <c r="C40" s="6" t="s">
        <v>33</v>
      </c>
      <c r="D40" s="6" t="s">
        <v>34</v>
      </c>
      <c r="F40" s="19">
        <v>2441.88</v>
      </c>
      <c r="G40" s="7">
        <f t="shared" si="32"/>
        <v>1878.3692307692309</v>
      </c>
      <c r="H40" s="7">
        <f t="shared" si="33"/>
        <v>356.89015384615385</v>
      </c>
      <c r="I40" s="8">
        <f t="shared" si="34"/>
        <v>2235.2593846153845</v>
      </c>
      <c r="J40" s="1">
        <v>100</v>
      </c>
      <c r="K40" s="9">
        <f t="shared" si="35"/>
        <v>2235.2593846153845</v>
      </c>
      <c r="L40" s="16"/>
      <c r="M40" s="9"/>
      <c r="N40" s="9"/>
      <c r="O40" s="9">
        <f t="shared" si="36"/>
        <v>1878.3692307692309</v>
      </c>
      <c r="P40" s="9"/>
      <c r="Q40" s="9"/>
      <c r="R40" s="9"/>
      <c r="S40" s="9"/>
      <c r="T40" s="9"/>
      <c r="U40" s="9">
        <f t="shared" si="42"/>
        <v>447.33363230769231</v>
      </c>
      <c r="V40" s="9">
        <f t="shared" si="37"/>
        <v>2325.7028630769232</v>
      </c>
      <c r="W40" s="9">
        <f t="shared" si="38"/>
        <v>2235.2593846153845</v>
      </c>
      <c r="X40" s="9">
        <f t="shared" si="39"/>
        <v>90.443478461538689</v>
      </c>
      <c r="Y40" s="9">
        <f t="shared" si="40"/>
        <v>0</v>
      </c>
      <c r="Z40" s="7">
        <f t="shared" si="41"/>
        <v>221</v>
      </c>
    </row>
    <row r="41" spans="1:26">
      <c r="A41" s="17">
        <v>45535</v>
      </c>
      <c r="B41" s="15">
        <v>1</v>
      </c>
      <c r="C41" s="6" t="s">
        <v>33</v>
      </c>
      <c r="D41" s="6" t="s">
        <v>34</v>
      </c>
      <c r="F41" s="19">
        <v>2441.88</v>
      </c>
      <c r="G41" s="7">
        <f t="shared" si="32"/>
        <v>1878.3692307692309</v>
      </c>
      <c r="H41" s="7">
        <f t="shared" si="33"/>
        <v>356.89015384615385</v>
      </c>
      <c r="I41" s="8">
        <f t="shared" si="34"/>
        <v>2235.2593846153845</v>
      </c>
      <c r="J41" s="1">
        <v>100</v>
      </c>
      <c r="K41" s="9">
        <f t="shared" si="35"/>
        <v>2235.2593846153845</v>
      </c>
      <c r="L41" s="16"/>
      <c r="M41" s="9"/>
      <c r="N41" s="9"/>
      <c r="O41" s="9">
        <f t="shared" si="36"/>
        <v>1878.3692307692309</v>
      </c>
      <c r="P41" s="9"/>
      <c r="Q41" s="9"/>
      <c r="R41" s="9"/>
      <c r="S41" s="9"/>
      <c r="T41" s="9"/>
      <c r="U41" s="9">
        <f t="shared" si="42"/>
        <v>447.33363230769231</v>
      </c>
      <c r="V41" s="9">
        <f t="shared" si="37"/>
        <v>2325.7028630769232</v>
      </c>
      <c r="W41" s="9">
        <f t="shared" si="38"/>
        <v>2235.2593846153845</v>
      </c>
      <c r="X41" s="9">
        <f t="shared" si="39"/>
        <v>90.443478461538689</v>
      </c>
      <c r="Y41" s="9">
        <f t="shared" si="40"/>
        <v>0</v>
      </c>
      <c r="Z41" s="7">
        <f t="shared" si="41"/>
        <v>221</v>
      </c>
    </row>
    <row r="42" spans="1:26">
      <c r="A42" s="17">
        <v>45565</v>
      </c>
      <c r="B42" s="15">
        <v>1</v>
      </c>
      <c r="C42" s="6" t="s">
        <v>33</v>
      </c>
      <c r="D42" s="6" t="s">
        <v>34</v>
      </c>
      <c r="F42" s="19">
        <v>2441.88</v>
      </c>
      <c r="G42" s="7">
        <f t="shared" si="32"/>
        <v>1878.3692307692309</v>
      </c>
      <c r="H42" s="7">
        <f t="shared" si="33"/>
        <v>356.89015384615385</v>
      </c>
      <c r="I42" s="8">
        <f t="shared" si="34"/>
        <v>2235.2593846153845</v>
      </c>
      <c r="J42" s="1">
        <v>100</v>
      </c>
      <c r="K42" s="9">
        <f t="shared" si="35"/>
        <v>2235.2593846153845</v>
      </c>
      <c r="L42" s="16"/>
      <c r="M42" s="9">
        <f t="shared" ref="M42" si="44">F42-F41</f>
        <v>0</v>
      </c>
      <c r="N42" s="9"/>
      <c r="O42" s="9">
        <f t="shared" si="36"/>
        <v>1878.3692307692309</v>
      </c>
      <c r="P42" s="9"/>
      <c r="Q42" s="9"/>
      <c r="R42" s="9"/>
      <c r="S42" s="9"/>
      <c r="T42" s="9"/>
      <c r="U42" s="9">
        <f t="shared" si="42"/>
        <v>447.33363230769231</v>
      </c>
      <c r="V42" s="9">
        <f t="shared" si="37"/>
        <v>2325.7028630769232</v>
      </c>
      <c r="W42" s="9">
        <f t="shared" si="38"/>
        <v>2235.2593846153845</v>
      </c>
      <c r="X42" s="9">
        <f t="shared" si="39"/>
        <v>90.443478461538689</v>
      </c>
      <c r="Y42" s="9">
        <f t="shared" si="40"/>
        <v>0</v>
      </c>
      <c r="Z42" s="7">
        <f t="shared" si="41"/>
        <v>221</v>
      </c>
    </row>
    <row r="43" spans="1:26">
      <c r="A43" s="17">
        <v>45596</v>
      </c>
      <c r="B43" s="15">
        <v>1</v>
      </c>
      <c r="C43" s="6" t="s">
        <v>33</v>
      </c>
      <c r="D43" s="6" t="s">
        <v>34</v>
      </c>
      <c r="E43" s="6"/>
      <c r="F43" s="19">
        <v>2441.88</v>
      </c>
      <c r="G43" s="7">
        <f t="shared" si="32"/>
        <v>1878.3692307692309</v>
      </c>
      <c r="H43" s="7">
        <f t="shared" si="33"/>
        <v>356.89015384615385</v>
      </c>
      <c r="I43" s="8">
        <f t="shared" si="34"/>
        <v>2235.2593846153845</v>
      </c>
      <c r="J43" s="1">
        <v>100</v>
      </c>
      <c r="K43" s="9">
        <f t="shared" si="35"/>
        <v>2235.2593846153845</v>
      </c>
      <c r="L43" s="16"/>
      <c r="M43" s="9"/>
      <c r="N43" s="9"/>
      <c r="O43" s="9">
        <f t="shared" si="36"/>
        <v>1878.3692307692309</v>
      </c>
      <c r="P43" s="9"/>
      <c r="Q43" s="9"/>
      <c r="R43" s="9"/>
      <c r="S43" s="9"/>
      <c r="T43" s="9"/>
      <c r="U43" s="9">
        <f t="shared" si="42"/>
        <v>447.33363230769231</v>
      </c>
      <c r="V43" s="9">
        <f t="shared" si="37"/>
        <v>2325.7028630769232</v>
      </c>
      <c r="W43" s="9">
        <f t="shared" si="38"/>
        <v>2235.2593846153845</v>
      </c>
      <c r="X43" s="9">
        <f t="shared" si="39"/>
        <v>90.443478461538689</v>
      </c>
      <c r="Y43" s="9">
        <f t="shared" si="40"/>
        <v>0</v>
      </c>
      <c r="Z43" s="7">
        <f t="shared" si="41"/>
        <v>221</v>
      </c>
    </row>
    <row r="44" spans="1:26">
      <c r="A44" s="17">
        <v>45626</v>
      </c>
      <c r="B44" s="15">
        <v>1</v>
      </c>
      <c r="C44" s="6" t="s">
        <v>33</v>
      </c>
      <c r="D44" s="6" t="s">
        <v>34</v>
      </c>
      <c r="E44" s="6"/>
      <c r="F44" s="19">
        <v>2441.88</v>
      </c>
      <c r="G44" s="7">
        <f t="shared" si="32"/>
        <v>1878.3692307692309</v>
      </c>
      <c r="H44" s="7">
        <f t="shared" si="33"/>
        <v>356.89015384615385</v>
      </c>
      <c r="I44" s="8">
        <f t="shared" si="34"/>
        <v>2235.2593846153845</v>
      </c>
      <c r="J44" s="53">
        <v>100</v>
      </c>
      <c r="K44" s="9">
        <f t="shared" si="35"/>
        <v>2235.2593846153845</v>
      </c>
      <c r="L44" s="16"/>
      <c r="M44" s="9"/>
      <c r="N44" s="9"/>
      <c r="O44" s="9">
        <f t="shared" si="36"/>
        <v>1878.3692307692309</v>
      </c>
      <c r="P44" s="9"/>
      <c r="Q44" s="9"/>
      <c r="R44" s="9"/>
      <c r="S44" s="9"/>
      <c r="T44" s="9"/>
      <c r="U44" s="9">
        <f t="shared" si="42"/>
        <v>447.33363230769231</v>
      </c>
      <c r="V44" s="9">
        <f t="shared" si="37"/>
        <v>2325.7028630769232</v>
      </c>
      <c r="W44" s="9">
        <f t="shared" si="38"/>
        <v>2235.2593846153845</v>
      </c>
      <c r="X44" s="9">
        <f t="shared" si="39"/>
        <v>90.443478461538689</v>
      </c>
      <c r="Y44" s="9">
        <f t="shared" si="40"/>
        <v>0</v>
      </c>
      <c r="Z44" s="7">
        <f t="shared" si="41"/>
        <v>221</v>
      </c>
    </row>
    <row r="45" spans="1:26">
      <c r="A45" s="17">
        <v>45657</v>
      </c>
      <c r="B45" s="15">
        <v>1</v>
      </c>
      <c r="C45" s="6" t="s">
        <v>33</v>
      </c>
      <c r="D45" s="6" t="s">
        <v>34</v>
      </c>
      <c r="E45" s="6"/>
      <c r="F45" s="19">
        <v>2441.88</v>
      </c>
      <c r="G45" s="7">
        <f t="shared" si="32"/>
        <v>1878.3692307692309</v>
      </c>
      <c r="H45" s="7">
        <f t="shared" si="33"/>
        <v>356.89015384615385</v>
      </c>
      <c r="I45" s="8">
        <f t="shared" si="34"/>
        <v>2235.2593846153845</v>
      </c>
      <c r="J45" s="53">
        <v>100</v>
      </c>
      <c r="K45" s="9">
        <f t="shared" si="35"/>
        <v>2235.2593846153845</v>
      </c>
      <c r="L45" s="16"/>
      <c r="M45" s="9"/>
      <c r="N45" s="9"/>
      <c r="O45" s="9">
        <f t="shared" si="36"/>
        <v>1878.3692307692309</v>
      </c>
      <c r="P45" s="9"/>
      <c r="Q45" s="9"/>
      <c r="R45" s="9"/>
      <c r="S45" s="9"/>
      <c r="T45" s="9"/>
      <c r="U45" s="9">
        <f t="shared" si="42"/>
        <v>447.33363230769231</v>
      </c>
      <c r="V45" s="9">
        <f t="shared" si="37"/>
        <v>2325.7028630769232</v>
      </c>
      <c r="W45" s="9">
        <f t="shared" si="38"/>
        <v>2235.2593846153845</v>
      </c>
      <c r="X45" s="9">
        <f t="shared" si="39"/>
        <v>90.443478461538689</v>
      </c>
      <c r="Y45" s="9">
        <f t="shared" si="40"/>
        <v>0</v>
      </c>
      <c r="Z45" s="7">
        <f t="shared" si="41"/>
        <v>221</v>
      </c>
    </row>
    <row r="46" spans="1:26">
      <c r="A46" s="17"/>
      <c r="B46" s="15"/>
      <c r="C46" s="6"/>
      <c r="D46" s="6"/>
      <c r="E46" s="6"/>
      <c r="F46" s="19"/>
      <c r="G46" s="7"/>
      <c r="H46" s="7"/>
      <c r="I46" s="8"/>
      <c r="J46" s="1"/>
      <c r="K46" s="9"/>
      <c r="L46" s="16">
        <f>SUM(B34:B45)</f>
        <v>12</v>
      </c>
      <c r="M46" s="9"/>
      <c r="N46" s="9"/>
      <c r="O46" s="21" t="s">
        <v>35</v>
      </c>
      <c r="P46" s="21"/>
      <c r="Q46" s="21"/>
      <c r="R46" s="21"/>
      <c r="S46" s="21"/>
      <c r="T46" s="21"/>
      <c r="U46" s="21"/>
      <c r="V46" s="21"/>
      <c r="W46" s="21"/>
      <c r="X46" s="21">
        <f>IF(V45&gt;0,O42*85%*(L46/12),0)</f>
        <v>1596.6138461538462</v>
      </c>
      <c r="Y46" s="22"/>
      <c r="Z46" s="21"/>
    </row>
    <row r="47" spans="1:26">
      <c r="A47" s="17"/>
      <c r="B47" s="15"/>
      <c r="C47" s="6"/>
      <c r="D47" s="6"/>
      <c r="E47" s="6"/>
      <c r="F47" s="19"/>
      <c r="G47" s="7"/>
      <c r="H47" s="7"/>
      <c r="I47" s="8"/>
      <c r="J47" s="1"/>
      <c r="K47" s="9"/>
      <c r="M47" s="9"/>
      <c r="N47" s="9"/>
      <c r="O47" s="21" t="s">
        <v>36</v>
      </c>
      <c r="P47" s="21"/>
      <c r="Q47" s="21"/>
      <c r="R47" s="21"/>
      <c r="S47" s="21"/>
      <c r="T47" s="21"/>
      <c r="U47" s="21"/>
      <c r="V47" s="22"/>
      <c r="W47" s="21"/>
      <c r="X47" s="21">
        <f>IF(V45&gt;0,U42*85%*(L46/12),0)</f>
        <v>380.23358746153843</v>
      </c>
      <c r="Y47" s="22"/>
      <c r="Z47" s="21"/>
    </row>
    <row r="48" spans="1:26">
      <c r="A48" s="17"/>
      <c r="B48" s="15"/>
      <c r="C48" s="6"/>
      <c r="D48" s="6"/>
      <c r="E48" s="6"/>
      <c r="F48" s="19"/>
      <c r="G48" s="7"/>
      <c r="H48" s="7"/>
      <c r="I48" s="8"/>
      <c r="J48" s="1"/>
      <c r="K48" s="9"/>
      <c r="L48" s="16"/>
      <c r="M48" s="9"/>
      <c r="N48" s="9"/>
      <c r="O48" s="10">
        <f>SUM(O34:O45)</f>
        <v>21633.000000000007</v>
      </c>
      <c r="P48" s="10">
        <f t="shared" ref="P48:U48" si="45">SUM(P34:P47)</f>
        <v>0</v>
      </c>
      <c r="Q48" s="10">
        <f t="shared" si="45"/>
        <v>0</v>
      </c>
      <c r="R48" s="10">
        <f t="shared" si="45"/>
        <v>0</v>
      </c>
      <c r="S48" s="10">
        <f t="shared" si="45"/>
        <v>0</v>
      </c>
      <c r="T48" s="10">
        <f t="shared" si="45"/>
        <v>0</v>
      </c>
      <c r="U48" s="10">
        <f t="shared" si="45"/>
        <v>5151.8989499999989</v>
      </c>
      <c r="V48" s="10">
        <f>SUM(V34:V45)</f>
        <v>26784.898950000003</v>
      </c>
      <c r="W48" s="10">
        <f t="shared" ref="W48" si="46">SUM(W34:W47)</f>
        <v>25743.269999999993</v>
      </c>
      <c r="X48" s="10">
        <f>SUM(X34:X47)</f>
        <v>3018.4763836153866</v>
      </c>
      <c r="Y48" s="10">
        <f>SUM(Y34:Y47)</f>
        <v>0</v>
      </c>
      <c r="Z48" s="10">
        <f t="shared" ref="Z48" si="47">SUM(Z34:Z47)</f>
        <v>2652</v>
      </c>
    </row>
    <row r="49" spans="1:26">
      <c r="A49" s="17">
        <v>45688</v>
      </c>
      <c r="B49" s="15">
        <v>1</v>
      </c>
      <c r="C49" s="6" t="s">
        <v>33</v>
      </c>
      <c r="D49" s="6" t="s">
        <v>34</v>
      </c>
      <c r="E49" s="6"/>
      <c r="F49" s="19">
        <v>2441.88</v>
      </c>
      <c r="G49" s="7">
        <f t="shared" ref="G49:G60" si="48">F49*($J$2/39)*B49</f>
        <v>1878.3692307692309</v>
      </c>
      <c r="H49" s="7">
        <f t="shared" ref="H49:H60" si="49">SUM(G49:G49)*19%</f>
        <v>356.89015384615385</v>
      </c>
      <c r="I49" s="8">
        <f t="shared" ref="I49:I60" si="50">SUM(G49:H49)</f>
        <v>2235.2593846153845</v>
      </c>
      <c r="J49" s="1">
        <v>100</v>
      </c>
      <c r="K49" s="9">
        <f t="shared" ref="K49:K60" si="51">I49*J49%</f>
        <v>2235.2593846153845</v>
      </c>
      <c r="L49" s="16"/>
      <c r="M49" s="9"/>
      <c r="N49" s="9"/>
      <c r="O49" s="9">
        <f t="shared" ref="O49:O60" si="52">SUM(G49:G49)</f>
        <v>1878.3692307692309</v>
      </c>
      <c r="P49" s="9"/>
      <c r="Q49" s="9"/>
      <c r="R49" s="9"/>
      <c r="S49" s="9"/>
      <c r="T49" s="9"/>
      <c r="U49" s="9">
        <f>O49*$Y$2</f>
        <v>447.33363230769231</v>
      </c>
      <c r="V49" s="9">
        <f t="shared" ref="V49:V60" si="53">U49+O49</f>
        <v>2325.7028630769232</v>
      </c>
      <c r="W49" s="9">
        <f t="shared" ref="W49:W60" si="54">K49</f>
        <v>2235.2593846153845</v>
      </c>
      <c r="X49" s="9">
        <f t="shared" ref="X49:X60" si="55">V49-I49</f>
        <v>90.443478461538689</v>
      </c>
      <c r="Y49" s="9">
        <f t="shared" ref="Y49:Y60" si="56">V49-W49-X49</f>
        <v>0</v>
      </c>
      <c r="Z49" s="7">
        <f t="shared" ref="Z49:Z60" si="57">$M$2*B49</f>
        <v>221</v>
      </c>
    </row>
    <row r="50" spans="1:26">
      <c r="A50" s="17">
        <v>45716</v>
      </c>
      <c r="B50" s="15">
        <v>1</v>
      </c>
      <c r="C50" s="6" t="s">
        <v>33</v>
      </c>
      <c r="D50" s="6" t="s">
        <v>34</v>
      </c>
      <c r="E50" s="6"/>
      <c r="F50" s="19">
        <v>2441.88</v>
      </c>
      <c r="G50" s="7">
        <f t="shared" si="48"/>
        <v>1878.3692307692309</v>
      </c>
      <c r="H50" s="7">
        <f t="shared" si="49"/>
        <v>356.89015384615385</v>
      </c>
      <c r="I50" s="8">
        <f t="shared" si="50"/>
        <v>2235.2593846153845</v>
      </c>
      <c r="J50" s="1">
        <v>100</v>
      </c>
      <c r="K50" s="9">
        <f t="shared" si="51"/>
        <v>2235.2593846153845</v>
      </c>
      <c r="L50" s="16"/>
      <c r="M50" s="9"/>
      <c r="N50" s="9"/>
      <c r="O50" s="9">
        <f t="shared" si="52"/>
        <v>1878.3692307692309</v>
      </c>
      <c r="P50" s="9"/>
      <c r="Q50" s="9"/>
      <c r="R50" s="9"/>
      <c r="S50" s="9"/>
      <c r="T50" s="9"/>
      <c r="U50" s="9">
        <f t="shared" ref="U50:U60" si="58">O50*$Y$2</f>
        <v>447.33363230769231</v>
      </c>
      <c r="V50" s="9">
        <f t="shared" si="53"/>
        <v>2325.7028630769232</v>
      </c>
      <c r="W50" s="9">
        <f t="shared" si="54"/>
        <v>2235.2593846153845</v>
      </c>
      <c r="X50" s="9">
        <f t="shared" si="55"/>
        <v>90.443478461538689</v>
      </c>
      <c r="Y50" s="9">
        <f t="shared" si="56"/>
        <v>0</v>
      </c>
      <c r="Z50" s="7">
        <f t="shared" si="57"/>
        <v>221</v>
      </c>
    </row>
    <row r="51" spans="1:26">
      <c r="A51" s="44">
        <v>45747</v>
      </c>
      <c r="B51" s="15">
        <v>1</v>
      </c>
      <c r="C51" s="6" t="s">
        <v>33</v>
      </c>
      <c r="D51" s="6" t="s">
        <v>34</v>
      </c>
      <c r="E51" s="6"/>
      <c r="F51" s="19">
        <v>2539.38</v>
      </c>
      <c r="G51" s="7">
        <f t="shared" si="48"/>
        <v>1953.3692307692309</v>
      </c>
      <c r="H51" s="7">
        <f t="shared" si="49"/>
        <v>371.14015384615385</v>
      </c>
      <c r="I51" s="8">
        <f t="shared" si="50"/>
        <v>2324.5093846153845</v>
      </c>
      <c r="J51" s="1">
        <v>100</v>
      </c>
      <c r="K51" s="9">
        <f t="shared" si="51"/>
        <v>2324.5093846153845</v>
      </c>
      <c r="L51" s="16"/>
      <c r="M51" s="49">
        <f>F51-F50</f>
        <v>97.5</v>
      </c>
      <c r="N51" s="9"/>
      <c r="O51" s="9">
        <f t="shared" si="52"/>
        <v>1953.3692307692309</v>
      </c>
      <c r="P51" s="9"/>
      <c r="Q51" s="9"/>
      <c r="R51" s="9"/>
      <c r="S51" s="9"/>
      <c r="T51" s="9"/>
      <c r="U51" s="9">
        <f t="shared" si="58"/>
        <v>465.19488230769235</v>
      </c>
      <c r="V51" s="9">
        <f t="shared" si="53"/>
        <v>2418.5641130769231</v>
      </c>
      <c r="W51" s="9">
        <f t="shared" si="54"/>
        <v>2324.5093846153845</v>
      </c>
      <c r="X51" s="9">
        <f t="shared" si="55"/>
        <v>94.054728461538616</v>
      </c>
      <c r="Y51" s="9">
        <f t="shared" si="56"/>
        <v>0</v>
      </c>
      <c r="Z51" s="7">
        <f t="shared" si="57"/>
        <v>221</v>
      </c>
    </row>
    <row r="52" spans="1:26">
      <c r="A52" s="17">
        <v>45777</v>
      </c>
      <c r="B52" s="15">
        <v>1</v>
      </c>
      <c r="C52" s="6" t="s">
        <v>33</v>
      </c>
      <c r="D52" s="6" t="s">
        <v>34</v>
      </c>
      <c r="E52" s="6"/>
      <c r="F52" s="19">
        <v>2539.38</v>
      </c>
      <c r="G52" s="7">
        <f t="shared" si="48"/>
        <v>1953.3692307692309</v>
      </c>
      <c r="H52" s="7">
        <f t="shared" si="49"/>
        <v>371.14015384615385</v>
      </c>
      <c r="I52" s="8">
        <f t="shared" si="50"/>
        <v>2324.5093846153845</v>
      </c>
      <c r="J52" s="1">
        <v>100</v>
      </c>
      <c r="K52" s="9">
        <f t="shared" si="51"/>
        <v>2324.5093846153845</v>
      </c>
      <c r="L52" s="16"/>
      <c r="M52" s="9"/>
      <c r="N52" s="9"/>
      <c r="O52" s="9">
        <f t="shared" si="52"/>
        <v>1953.3692307692309</v>
      </c>
      <c r="P52" s="9"/>
      <c r="Q52" s="9"/>
      <c r="R52" s="9"/>
      <c r="S52" s="9"/>
      <c r="T52" s="9"/>
      <c r="U52" s="9">
        <f t="shared" si="58"/>
        <v>465.19488230769235</v>
      </c>
      <c r="V52" s="9">
        <f t="shared" si="53"/>
        <v>2418.5641130769231</v>
      </c>
      <c r="W52" s="9">
        <f t="shared" si="54"/>
        <v>2324.5093846153845</v>
      </c>
      <c r="X52" s="9">
        <f t="shared" si="55"/>
        <v>94.054728461538616</v>
      </c>
      <c r="Y52" s="9">
        <f t="shared" si="56"/>
        <v>0</v>
      </c>
      <c r="Z52" s="7">
        <f t="shared" si="57"/>
        <v>221</v>
      </c>
    </row>
    <row r="53" spans="1:26">
      <c r="A53" s="17">
        <v>45808</v>
      </c>
      <c r="B53" s="15">
        <v>1</v>
      </c>
      <c r="C53" s="6" t="s">
        <v>33</v>
      </c>
      <c r="D53" s="6" t="s">
        <v>34</v>
      </c>
      <c r="E53" s="6"/>
      <c r="F53" s="19">
        <v>2539.38</v>
      </c>
      <c r="G53" s="7">
        <f t="shared" si="48"/>
        <v>1953.3692307692309</v>
      </c>
      <c r="H53" s="7">
        <f t="shared" si="49"/>
        <v>371.14015384615385</v>
      </c>
      <c r="I53" s="8">
        <f t="shared" si="50"/>
        <v>2324.5093846153845</v>
      </c>
      <c r="J53" s="1">
        <v>100</v>
      </c>
      <c r="K53" s="9">
        <f t="shared" si="51"/>
        <v>2324.5093846153845</v>
      </c>
      <c r="L53" s="16"/>
      <c r="M53" s="9"/>
      <c r="N53" s="9"/>
      <c r="O53" s="9">
        <f t="shared" si="52"/>
        <v>1953.3692307692309</v>
      </c>
      <c r="P53" s="9"/>
      <c r="Q53" s="9"/>
      <c r="R53" s="9"/>
      <c r="S53" s="9"/>
      <c r="T53" s="9"/>
      <c r="U53" s="9">
        <f t="shared" si="58"/>
        <v>465.19488230769235</v>
      </c>
      <c r="V53" s="9">
        <f t="shared" si="53"/>
        <v>2418.5641130769231</v>
      </c>
      <c r="W53" s="9">
        <f t="shared" si="54"/>
        <v>2324.5093846153845</v>
      </c>
      <c r="X53" s="9">
        <f t="shared" si="55"/>
        <v>94.054728461538616</v>
      </c>
      <c r="Y53" s="9">
        <f t="shared" si="56"/>
        <v>0</v>
      </c>
      <c r="Z53" s="7">
        <f t="shared" si="57"/>
        <v>221</v>
      </c>
    </row>
    <row r="54" spans="1:26">
      <c r="A54" s="44">
        <v>45838</v>
      </c>
      <c r="B54" s="15">
        <v>1</v>
      </c>
      <c r="C54" s="6" t="s">
        <v>33</v>
      </c>
      <c r="D54" s="6" t="s">
        <v>34</v>
      </c>
      <c r="E54" s="6"/>
      <c r="F54" s="19">
        <v>2636.88</v>
      </c>
      <c r="G54" s="7">
        <f t="shared" si="48"/>
        <v>2028.3692307692309</v>
      </c>
      <c r="H54" s="7">
        <f t="shared" si="49"/>
        <v>385.39015384615385</v>
      </c>
      <c r="I54" s="8">
        <f t="shared" si="50"/>
        <v>2413.7593846153845</v>
      </c>
      <c r="J54" s="1">
        <v>100</v>
      </c>
      <c r="K54" s="9">
        <f t="shared" si="51"/>
        <v>2413.7593846153845</v>
      </c>
      <c r="L54" s="16"/>
      <c r="M54" s="49">
        <f t="shared" ref="M54:M57" si="59">F54-F53</f>
        <v>97.5</v>
      </c>
      <c r="N54" s="9"/>
      <c r="O54" s="9">
        <f t="shared" si="52"/>
        <v>2028.3692307692309</v>
      </c>
      <c r="P54" s="9"/>
      <c r="Q54" s="9"/>
      <c r="R54" s="9"/>
      <c r="S54" s="9"/>
      <c r="T54" s="9"/>
      <c r="U54" s="9">
        <f t="shared" si="58"/>
        <v>483.05613230769234</v>
      </c>
      <c r="V54" s="9">
        <f t="shared" si="53"/>
        <v>2511.4253630769231</v>
      </c>
      <c r="W54" s="9">
        <f t="shared" si="54"/>
        <v>2413.7593846153845</v>
      </c>
      <c r="X54" s="9">
        <f t="shared" si="55"/>
        <v>97.665978461538543</v>
      </c>
      <c r="Y54" s="9">
        <f t="shared" si="56"/>
        <v>0</v>
      </c>
      <c r="Z54" s="7">
        <f t="shared" si="57"/>
        <v>221</v>
      </c>
    </row>
    <row r="55" spans="1:26">
      <c r="A55" s="17">
        <v>45869</v>
      </c>
      <c r="B55" s="15">
        <v>1</v>
      </c>
      <c r="C55" s="6" t="s">
        <v>33</v>
      </c>
      <c r="D55" s="6" t="s">
        <v>34</v>
      </c>
      <c r="E55" s="6"/>
      <c r="F55" s="19">
        <v>2636.88</v>
      </c>
      <c r="G55" s="7">
        <f t="shared" si="48"/>
        <v>2028.3692307692309</v>
      </c>
      <c r="H55" s="7">
        <f t="shared" si="49"/>
        <v>385.39015384615385</v>
      </c>
      <c r="I55" s="8">
        <f t="shared" si="50"/>
        <v>2413.7593846153845</v>
      </c>
      <c r="J55" s="1">
        <v>90</v>
      </c>
      <c r="K55" s="9">
        <f t="shared" si="51"/>
        <v>2172.3834461538463</v>
      </c>
      <c r="L55" s="16"/>
      <c r="M55" s="9"/>
      <c r="N55" s="9"/>
      <c r="O55" s="9">
        <f t="shared" si="52"/>
        <v>2028.3692307692309</v>
      </c>
      <c r="P55" s="9"/>
      <c r="Q55" s="9"/>
      <c r="R55" s="9"/>
      <c r="S55" s="9"/>
      <c r="T55" s="9"/>
      <c r="U55" s="9">
        <f t="shared" si="58"/>
        <v>483.05613230769234</v>
      </c>
      <c r="V55" s="9">
        <f t="shared" si="53"/>
        <v>2511.4253630769231</v>
      </c>
      <c r="W55" s="9">
        <f t="shared" si="54"/>
        <v>2172.3834461538463</v>
      </c>
      <c r="X55" s="9">
        <f t="shared" si="55"/>
        <v>97.665978461538543</v>
      </c>
      <c r="Y55" s="9">
        <f t="shared" si="56"/>
        <v>241.37593846153823</v>
      </c>
      <c r="Z55" s="7">
        <f t="shared" si="57"/>
        <v>221</v>
      </c>
    </row>
    <row r="56" spans="1:26">
      <c r="A56" s="17">
        <v>45900</v>
      </c>
      <c r="B56" s="15">
        <v>1</v>
      </c>
      <c r="C56" s="6" t="s">
        <v>33</v>
      </c>
      <c r="D56" s="6" t="s">
        <v>34</v>
      </c>
      <c r="E56" s="6"/>
      <c r="F56" s="19">
        <v>2636.88</v>
      </c>
      <c r="G56" s="7">
        <f t="shared" si="48"/>
        <v>2028.3692307692309</v>
      </c>
      <c r="H56" s="7">
        <f t="shared" si="49"/>
        <v>385.39015384615385</v>
      </c>
      <c r="I56" s="8">
        <f t="shared" si="50"/>
        <v>2413.7593846153845</v>
      </c>
      <c r="J56" s="1">
        <v>90</v>
      </c>
      <c r="K56" s="9">
        <f t="shared" si="51"/>
        <v>2172.3834461538463</v>
      </c>
      <c r="L56" s="16"/>
      <c r="M56" s="9"/>
      <c r="N56" s="9"/>
      <c r="O56" s="9">
        <f t="shared" si="52"/>
        <v>2028.3692307692309</v>
      </c>
      <c r="P56" s="9"/>
      <c r="Q56" s="9"/>
      <c r="R56" s="9"/>
      <c r="S56" s="9"/>
      <c r="T56" s="9"/>
      <c r="U56" s="9">
        <f t="shared" si="58"/>
        <v>483.05613230769234</v>
      </c>
      <c r="V56" s="9">
        <f t="shared" si="53"/>
        <v>2511.4253630769231</v>
      </c>
      <c r="W56" s="9">
        <f t="shared" si="54"/>
        <v>2172.3834461538463</v>
      </c>
      <c r="X56" s="9">
        <f t="shared" si="55"/>
        <v>97.665978461538543</v>
      </c>
      <c r="Y56" s="9">
        <f t="shared" si="56"/>
        <v>241.37593846153823</v>
      </c>
      <c r="Z56" s="7">
        <f t="shared" si="57"/>
        <v>221</v>
      </c>
    </row>
    <row r="57" spans="1:26">
      <c r="A57" s="44">
        <v>45930</v>
      </c>
      <c r="B57" s="15">
        <v>1</v>
      </c>
      <c r="C57" s="6" t="s">
        <v>33</v>
      </c>
      <c r="D57" s="6" t="s">
        <v>34</v>
      </c>
      <c r="E57" s="6"/>
      <c r="F57" s="19">
        <v>2781.91</v>
      </c>
      <c r="G57" s="7">
        <f t="shared" si="48"/>
        <v>2139.9307692307693</v>
      </c>
      <c r="H57" s="7">
        <f t="shared" si="49"/>
        <v>406.58684615384618</v>
      </c>
      <c r="I57" s="8">
        <f t="shared" si="50"/>
        <v>2546.5176153846155</v>
      </c>
      <c r="J57" s="1">
        <v>90</v>
      </c>
      <c r="K57" s="9">
        <f t="shared" si="51"/>
        <v>2291.8658538461541</v>
      </c>
      <c r="L57" s="16"/>
      <c r="M57" s="49">
        <f t="shared" si="59"/>
        <v>145.02999999999975</v>
      </c>
      <c r="N57" s="9"/>
      <c r="O57" s="9">
        <f t="shared" si="52"/>
        <v>2139.9307692307693</v>
      </c>
      <c r="P57" s="9"/>
      <c r="Q57" s="9"/>
      <c r="R57" s="9"/>
      <c r="S57" s="9"/>
      <c r="T57" s="9"/>
      <c r="U57" s="9">
        <f t="shared" si="58"/>
        <v>509.62451269230769</v>
      </c>
      <c r="V57" s="9">
        <f t="shared" si="53"/>
        <v>2649.555281923077</v>
      </c>
      <c r="W57" s="9">
        <f t="shared" si="54"/>
        <v>2291.8658538461541</v>
      </c>
      <c r="X57" s="9">
        <f t="shared" si="55"/>
        <v>103.03766653846151</v>
      </c>
      <c r="Y57" s="9">
        <f t="shared" si="56"/>
        <v>254.65176153846141</v>
      </c>
      <c r="Z57" s="7">
        <f t="shared" si="57"/>
        <v>221</v>
      </c>
    </row>
    <row r="58" spans="1:26">
      <c r="A58" s="17">
        <v>45961</v>
      </c>
      <c r="B58" s="15">
        <v>1</v>
      </c>
      <c r="C58" s="6" t="s">
        <v>33</v>
      </c>
      <c r="D58" s="6" t="s">
        <v>34</v>
      </c>
      <c r="E58" s="6"/>
      <c r="F58" s="19">
        <v>2781.91</v>
      </c>
      <c r="G58" s="7">
        <f t="shared" si="48"/>
        <v>2139.9307692307693</v>
      </c>
      <c r="H58" s="7">
        <f t="shared" si="49"/>
        <v>406.58684615384618</v>
      </c>
      <c r="I58" s="8">
        <f t="shared" si="50"/>
        <v>2546.5176153846155</v>
      </c>
      <c r="J58" s="1">
        <v>90</v>
      </c>
      <c r="K58" s="9">
        <f t="shared" si="51"/>
        <v>2291.8658538461541</v>
      </c>
      <c r="L58" s="16"/>
      <c r="M58" s="9"/>
      <c r="N58" s="9"/>
      <c r="O58" s="9">
        <f t="shared" si="52"/>
        <v>2139.9307692307693</v>
      </c>
      <c r="P58" s="9"/>
      <c r="Q58" s="9"/>
      <c r="R58" s="9"/>
      <c r="S58" s="9"/>
      <c r="T58" s="9"/>
      <c r="U58" s="9">
        <f t="shared" si="58"/>
        <v>509.62451269230769</v>
      </c>
      <c r="V58" s="9">
        <f t="shared" si="53"/>
        <v>2649.555281923077</v>
      </c>
      <c r="W58" s="9">
        <f t="shared" si="54"/>
        <v>2291.8658538461541</v>
      </c>
      <c r="X58" s="9">
        <f t="shared" si="55"/>
        <v>103.03766653846151</v>
      </c>
      <c r="Y58" s="9">
        <f t="shared" si="56"/>
        <v>254.65176153846141</v>
      </c>
      <c r="Z58" s="7">
        <f t="shared" si="57"/>
        <v>221</v>
      </c>
    </row>
    <row r="59" spans="1:26">
      <c r="A59" s="17">
        <v>45991</v>
      </c>
      <c r="B59" s="15">
        <v>1</v>
      </c>
      <c r="C59" s="6" t="s">
        <v>33</v>
      </c>
      <c r="D59" s="6" t="s">
        <v>34</v>
      </c>
      <c r="E59" s="6"/>
      <c r="F59" s="19">
        <v>2781.91</v>
      </c>
      <c r="G59" s="7">
        <f t="shared" si="48"/>
        <v>2139.9307692307693</v>
      </c>
      <c r="H59" s="7">
        <f t="shared" si="49"/>
        <v>406.58684615384618</v>
      </c>
      <c r="I59" s="8">
        <f t="shared" si="50"/>
        <v>2546.5176153846155</v>
      </c>
      <c r="J59" s="1">
        <v>90</v>
      </c>
      <c r="K59" s="9">
        <f t="shared" si="51"/>
        <v>2291.8658538461541</v>
      </c>
      <c r="L59" s="16"/>
      <c r="M59" s="9"/>
      <c r="N59" s="9"/>
      <c r="O59" s="9">
        <f t="shared" si="52"/>
        <v>2139.9307692307693</v>
      </c>
      <c r="P59" s="9"/>
      <c r="Q59" s="9"/>
      <c r="R59" s="9"/>
      <c r="S59" s="9"/>
      <c r="T59" s="9"/>
      <c r="U59" s="9">
        <f t="shared" si="58"/>
        <v>509.62451269230769</v>
      </c>
      <c r="V59" s="9">
        <f t="shared" si="53"/>
        <v>2649.555281923077</v>
      </c>
      <c r="W59" s="9">
        <f t="shared" si="54"/>
        <v>2291.8658538461541</v>
      </c>
      <c r="X59" s="9">
        <f t="shared" si="55"/>
        <v>103.03766653846151</v>
      </c>
      <c r="Y59" s="9">
        <f t="shared" si="56"/>
        <v>254.65176153846141</v>
      </c>
      <c r="Z59" s="7">
        <f t="shared" si="57"/>
        <v>221</v>
      </c>
    </row>
    <row r="60" spans="1:26">
      <c r="A60" s="17">
        <v>46022</v>
      </c>
      <c r="B60" s="15">
        <v>1</v>
      </c>
      <c r="C60" s="6" t="s">
        <v>33</v>
      </c>
      <c r="D60" s="6" t="s">
        <v>34</v>
      </c>
      <c r="E60" s="6"/>
      <c r="F60" s="19">
        <v>2781.91</v>
      </c>
      <c r="G60" s="7">
        <f t="shared" si="48"/>
        <v>2139.9307692307693</v>
      </c>
      <c r="H60" s="7">
        <f t="shared" si="49"/>
        <v>406.58684615384618</v>
      </c>
      <c r="I60" s="8">
        <f t="shared" si="50"/>
        <v>2546.5176153846155</v>
      </c>
      <c r="J60" s="1">
        <v>90</v>
      </c>
      <c r="K60" s="9">
        <f t="shared" si="51"/>
        <v>2291.8658538461541</v>
      </c>
      <c r="L60" s="16"/>
      <c r="M60" s="9"/>
      <c r="N60" s="9"/>
      <c r="O60" s="9">
        <f t="shared" si="52"/>
        <v>2139.9307692307693</v>
      </c>
      <c r="P60" s="9"/>
      <c r="Q60" s="9"/>
      <c r="R60" s="9"/>
      <c r="S60" s="9"/>
      <c r="T60" s="9"/>
      <c r="U60" s="9">
        <f t="shared" si="58"/>
        <v>509.62451269230769</v>
      </c>
      <c r="V60" s="9">
        <f t="shared" si="53"/>
        <v>2649.555281923077</v>
      </c>
      <c r="W60" s="9">
        <f t="shared" si="54"/>
        <v>2291.8658538461541</v>
      </c>
      <c r="X60" s="9">
        <f t="shared" si="55"/>
        <v>103.03766653846151</v>
      </c>
      <c r="Y60" s="9">
        <f t="shared" si="56"/>
        <v>254.65176153846141</v>
      </c>
      <c r="Z60" s="7">
        <f t="shared" si="57"/>
        <v>221</v>
      </c>
    </row>
    <row r="61" spans="1:26">
      <c r="A61" s="17"/>
      <c r="B61" s="15"/>
      <c r="C61" s="6"/>
      <c r="D61" s="6"/>
      <c r="E61" s="6"/>
      <c r="F61" s="19"/>
      <c r="G61" s="7"/>
      <c r="H61" s="7"/>
      <c r="I61" s="8"/>
      <c r="J61" s="1"/>
      <c r="K61" s="9"/>
      <c r="L61" s="16">
        <f>SUM(B49:B60)</f>
        <v>12</v>
      </c>
      <c r="M61" s="9"/>
      <c r="N61" s="9"/>
      <c r="O61" s="21" t="s">
        <v>35</v>
      </c>
      <c r="P61" s="21"/>
      <c r="Q61" s="21"/>
      <c r="R61" s="21"/>
      <c r="S61" s="21"/>
      <c r="T61" s="21"/>
      <c r="U61" s="21"/>
      <c r="V61" s="21"/>
      <c r="W61" s="21"/>
      <c r="X61" s="21">
        <f>IF(V60&gt;0,O57*85%*(L61/12),0)</f>
        <v>1818.9411538461538</v>
      </c>
      <c r="Y61" s="22"/>
      <c r="Z61" s="21"/>
    </row>
    <row r="62" spans="1:26">
      <c r="A62" s="17"/>
      <c r="B62" s="15"/>
      <c r="C62" s="6"/>
      <c r="D62" s="6"/>
      <c r="E62" s="6"/>
      <c r="F62" s="19"/>
      <c r="G62" s="7"/>
      <c r="H62" s="7"/>
      <c r="I62" s="8"/>
      <c r="J62" s="1"/>
      <c r="K62" s="9"/>
      <c r="M62" s="9"/>
      <c r="N62" s="9"/>
      <c r="O62" s="21" t="s">
        <v>36</v>
      </c>
      <c r="P62" s="21"/>
      <c r="Q62" s="21"/>
      <c r="R62" s="21"/>
      <c r="S62" s="21"/>
      <c r="T62" s="21"/>
      <c r="U62" s="21"/>
      <c r="V62" s="22"/>
      <c r="W62" s="21"/>
      <c r="X62" s="21">
        <f>IF(V60&gt;0,U57*85%*(L61/12),0)</f>
        <v>433.18083578846154</v>
      </c>
      <c r="Y62" s="22"/>
      <c r="Z62" s="21"/>
    </row>
    <row r="63" spans="1:26">
      <c r="A63" s="17"/>
      <c r="B63" s="15"/>
      <c r="C63" s="6"/>
      <c r="D63" s="6"/>
      <c r="E63" s="6"/>
      <c r="F63" s="19"/>
      <c r="G63" s="7"/>
      <c r="H63" s="7"/>
      <c r="I63" s="8"/>
      <c r="J63" s="1"/>
      <c r="K63" s="9"/>
      <c r="L63" s="16"/>
      <c r="M63" s="9"/>
      <c r="N63" s="9"/>
      <c r="O63" s="10">
        <f>SUM(O49:O60)</f>
        <v>24261.676923076928</v>
      </c>
      <c r="P63" s="10">
        <f>SUM(P49:P60)</f>
        <v>0</v>
      </c>
      <c r="Q63" s="10">
        <f>SUM(Q49:Q60)</f>
        <v>0</v>
      </c>
      <c r="R63" s="10">
        <f>SUM(R49:R60)</f>
        <v>0</v>
      </c>
      <c r="S63" s="10">
        <f>SUM(S49:S60)</f>
        <v>0</v>
      </c>
      <c r="T63" s="10">
        <f>SUM(T49:T60)</f>
        <v>0</v>
      </c>
      <c r="U63" s="10">
        <f>SUM(U49:U60)</f>
        <v>5777.9183592307691</v>
      </c>
      <c r="V63" s="10">
        <f>SUM(V49:V60)</f>
        <v>30039.595282307691</v>
      </c>
      <c r="W63" s="10">
        <f>SUM(W49:W60)</f>
        <v>27370.036615384612</v>
      </c>
      <c r="X63" s="10">
        <f>SUM(X49:X62)</f>
        <v>3420.32173348077</v>
      </c>
      <c r="Y63" s="10">
        <f>SUM(Y49:Y62)</f>
        <v>1501.3589230769221</v>
      </c>
      <c r="Z63" s="10">
        <f>SUM(Z49:Z60)</f>
        <v>2652</v>
      </c>
    </row>
    <row r="64" spans="1:26">
      <c r="A64" s="17">
        <v>46053</v>
      </c>
      <c r="B64" s="15">
        <v>1</v>
      </c>
      <c r="C64" s="6" t="s">
        <v>33</v>
      </c>
      <c r="D64" s="6" t="s">
        <v>34</v>
      </c>
      <c r="E64" s="6"/>
      <c r="F64" s="19">
        <v>2781.91</v>
      </c>
      <c r="G64" s="7">
        <f t="shared" ref="G64:G68" si="60">F64*($J$2/39)*B64</f>
        <v>2139.9307692307693</v>
      </c>
      <c r="H64" s="7">
        <f t="shared" ref="H64:H68" si="61">SUM(G64:G64)*19%</f>
        <v>406.58684615384618</v>
      </c>
      <c r="I64" s="8">
        <f t="shared" ref="I64:I68" si="62">SUM(G64:H64)</f>
        <v>2546.5176153846155</v>
      </c>
      <c r="J64" s="1">
        <v>90</v>
      </c>
      <c r="K64" s="9">
        <f t="shared" ref="K64:K68" si="63">I64*J64%</f>
        <v>2291.8658538461541</v>
      </c>
      <c r="L64" s="16"/>
      <c r="M64" s="9"/>
      <c r="N64" s="9"/>
      <c r="O64" s="9">
        <f t="shared" ref="O64:O68" si="64">SUM(G64:G64)</f>
        <v>2139.9307692307693</v>
      </c>
      <c r="P64" s="9"/>
      <c r="Q64" s="9"/>
      <c r="R64" s="9"/>
      <c r="S64" s="9"/>
      <c r="T64" s="9"/>
      <c r="U64" s="9">
        <f t="shared" ref="U64:U68" si="65">O64*$Y$2</f>
        <v>509.62451269230769</v>
      </c>
      <c r="V64" s="9">
        <f t="shared" ref="V64:V68" si="66">U64+O64</f>
        <v>2649.555281923077</v>
      </c>
      <c r="W64" s="9">
        <f t="shared" ref="W64:W68" si="67">K64</f>
        <v>2291.8658538461541</v>
      </c>
      <c r="X64" s="9">
        <f t="shared" ref="X64:X68" si="68">V64-I64</f>
        <v>103.03766653846151</v>
      </c>
      <c r="Y64" s="9">
        <f t="shared" ref="Y64:Y68" si="69">V64-W64-X64</f>
        <v>254.65176153846141</v>
      </c>
      <c r="Z64" s="7">
        <f t="shared" ref="Z64:Z68" si="70">$M$2*B64</f>
        <v>221</v>
      </c>
    </row>
    <row r="65" spans="1:26">
      <c r="A65" s="17">
        <v>46081</v>
      </c>
      <c r="B65" s="15">
        <v>1</v>
      </c>
      <c r="C65" s="6" t="s">
        <v>33</v>
      </c>
      <c r="D65" s="6" t="s">
        <v>34</v>
      </c>
      <c r="E65" s="6"/>
      <c r="F65" s="19">
        <v>2781.91</v>
      </c>
      <c r="G65" s="7">
        <f t="shared" si="60"/>
        <v>2139.9307692307693</v>
      </c>
      <c r="H65" s="7">
        <f t="shared" si="61"/>
        <v>406.58684615384618</v>
      </c>
      <c r="I65" s="8">
        <f t="shared" si="62"/>
        <v>2546.5176153846155</v>
      </c>
      <c r="J65" s="1">
        <v>90</v>
      </c>
      <c r="K65" s="9">
        <f t="shared" si="63"/>
        <v>2291.8658538461541</v>
      </c>
      <c r="L65" s="16"/>
      <c r="M65" s="9"/>
      <c r="N65" s="9"/>
      <c r="O65" s="9">
        <f t="shared" si="64"/>
        <v>2139.9307692307693</v>
      </c>
      <c r="P65" s="9"/>
      <c r="Q65" s="9"/>
      <c r="R65" s="9"/>
      <c r="S65" s="9"/>
      <c r="T65" s="9"/>
      <c r="U65" s="9">
        <f t="shared" si="65"/>
        <v>509.62451269230769</v>
      </c>
      <c r="V65" s="9">
        <f t="shared" si="66"/>
        <v>2649.555281923077</v>
      </c>
      <c r="W65" s="9">
        <f t="shared" si="67"/>
        <v>2291.8658538461541</v>
      </c>
      <c r="X65" s="9">
        <f t="shared" si="68"/>
        <v>103.03766653846151</v>
      </c>
      <c r="Y65" s="9">
        <f t="shared" si="69"/>
        <v>254.65176153846141</v>
      </c>
      <c r="Z65" s="7">
        <f t="shared" si="70"/>
        <v>221</v>
      </c>
    </row>
    <row r="66" spans="1:26">
      <c r="A66" s="17">
        <v>46112</v>
      </c>
      <c r="B66" s="15">
        <v>1</v>
      </c>
      <c r="C66" s="6" t="s">
        <v>33</v>
      </c>
      <c r="D66" s="6" t="s">
        <v>34</v>
      </c>
      <c r="E66" s="6"/>
      <c r="F66" s="19">
        <v>2781.91</v>
      </c>
      <c r="G66" s="7">
        <f t="shared" si="60"/>
        <v>2139.9307692307693</v>
      </c>
      <c r="H66" s="7">
        <f t="shared" si="61"/>
        <v>406.58684615384618</v>
      </c>
      <c r="I66" s="8">
        <f t="shared" si="62"/>
        <v>2546.5176153846155</v>
      </c>
      <c r="J66" s="1">
        <v>90</v>
      </c>
      <c r="K66" s="9">
        <f t="shared" si="63"/>
        <v>2291.8658538461541</v>
      </c>
      <c r="L66" s="16"/>
      <c r="M66" s="9"/>
      <c r="N66" s="9"/>
      <c r="O66" s="9">
        <f t="shared" si="64"/>
        <v>2139.9307692307693</v>
      </c>
      <c r="P66" s="9"/>
      <c r="Q66" s="9"/>
      <c r="R66" s="9"/>
      <c r="S66" s="9"/>
      <c r="T66" s="9"/>
      <c r="U66" s="9">
        <f t="shared" si="65"/>
        <v>509.62451269230769</v>
      </c>
      <c r="V66" s="9">
        <f t="shared" si="66"/>
        <v>2649.555281923077</v>
      </c>
      <c r="W66" s="9">
        <f t="shared" si="67"/>
        <v>2291.8658538461541</v>
      </c>
      <c r="X66" s="9">
        <f t="shared" si="68"/>
        <v>103.03766653846151</v>
      </c>
      <c r="Y66" s="9">
        <f t="shared" si="69"/>
        <v>254.65176153846141</v>
      </c>
      <c r="Z66" s="7">
        <f t="shared" si="70"/>
        <v>221</v>
      </c>
    </row>
    <row r="67" spans="1:26">
      <c r="A67" s="17">
        <v>46142</v>
      </c>
      <c r="B67" s="15">
        <v>1</v>
      </c>
      <c r="C67" s="6" t="s">
        <v>33</v>
      </c>
      <c r="D67" s="6" t="s">
        <v>34</v>
      </c>
      <c r="E67" s="6"/>
      <c r="F67" s="19">
        <v>2781.91</v>
      </c>
      <c r="G67" s="7">
        <f t="shared" si="60"/>
        <v>2139.9307692307693</v>
      </c>
      <c r="H67" s="7">
        <f t="shared" si="61"/>
        <v>406.58684615384618</v>
      </c>
      <c r="I67" s="8">
        <f t="shared" si="62"/>
        <v>2546.5176153846155</v>
      </c>
      <c r="J67" s="1">
        <v>90</v>
      </c>
      <c r="K67" s="9">
        <f t="shared" si="63"/>
        <v>2291.8658538461541</v>
      </c>
      <c r="L67" s="16"/>
      <c r="M67" s="9"/>
      <c r="N67" s="9"/>
      <c r="O67" s="9">
        <f t="shared" si="64"/>
        <v>2139.9307692307693</v>
      </c>
      <c r="P67" s="9"/>
      <c r="Q67" s="9"/>
      <c r="R67" s="9"/>
      <c r="S67" s="9"/>
      <c r="T67" s="9"/>
      <c r="U67" s="9">
        <f t="shared" si="65"/>
        <v>509.62451269230769</v>
      </c>
      <c r="V67" s="9">
        <f t="shared" si="66"/>
        <v>2649.555281923077</v>
      </c>
      <c r="W67" s="9">
        <f t="shared" si="67"/>
        <v>2291.8658538461541</v>
      </c>
      <c r="X67" s="9">
        <f t="shared" si="68"/>
        <v>103.03766653846151</v>
      </c>
      <c r="Y67" s="9">
        <f t="shared" si="69"/>
        <v>254.65176153846141</v>
      </c>
      <c r="Z67" s="7">
        <f t="shared" si="70"/>
        <v>221</v>
      </c>
    </row>
    <row r="68" spans="1:26">
      <c r="A68" s="17">
        <v>46173</v>
      </c>
      <c r="B68" s="15">
        <v>1</v>
      </c>
      <c r="C68" s="6" t="s">
        <v>33</v>
      </c>
      <c r="D68" s="6" t="s">
        <v>34</v>
      </c>
      <c r="E68" s="6"/>
      <c r="F68" s="19">
        <v>2781.91</v>
      </c>
      <c r="G68" s="7">
        <f t="shared" si="60"/>
        <v>2139.9307692307693</v>
      </c>
      <c r="H68" s="7">
        <f t="shared" si="61"/>
        <v>406.58684615384618</v>
      </c>
      <c r="I68" s="8">
        <f t="shared" si="62"/>
        <v>2546.5176153846155</v>
      </c>
      <c r="J68" s="1">
        <v>90</v>
      </c>
      <c r="K68" s="9">
        <f t="shared" si="63"/>
        <v>2291.8658538461541</v>
      </c>
      <c r="L68" s="16"/>
      <c r="M68" s="9"/>
      <c r="N68" s="9"/>
      <c r="O68" s="9">
        <f t="shared" si="64"/>
        <v>2139.9307692307693</v>
      </c>
      <c r="P68" s="9"/>
      <c r="Q68" s="9"/>
      <c r="R68" s="9"/>
      <c r="S68" s="9"/>
      <c r="T68" s="9"/>
      <c r="U68" s="9">
        <f t="shared" si="65"/>
        <v>509.62451269230769</v>
      </c>
      <c r="V68" s="9">
        <f t="shared" si="66"/>
        <v>2649.555281923077</v>
      </c>
      <c r="W68" s="9">
        <f t="shared" si="67"/>
        <v>2291.8658538461541</v>
      </c>
      <c r="X68" s="9">
        <f t="shared" si="68"/>
        <v>103.03766653846151</v>
      </c>
      <c r="Y68" s="9">
        <f t="shared" si="69"/>
        <v>254.65176153846141</v>
      </c>
      <c r="Z68" s="7">
        <f t="shared" si="70"/>
        <v>221</v>
      </c>
    </row>
    <row r="69" spans="1:26">
      <c r="A69" s="17">
        <v>46203</v>
      </c>
      <c r="B69" s="15">
        <v>1</v>
      </c>
      <c r="C69" s="6" t="s">
        <v>33</v>
      </c>
      <c r="D69" s="6" t="s">
        <v>34</v>
      </c>
      <c r="E69" s="6"/>
      <c r="F69" s="19">
        <v>2781.91</v>
      </c>
      <c r="G69" s="7">
        <f t="shared" ref="G69:G70" si="71">F69*($J$2/39)*B69</f>
        <v>2139.9307692307693</v>
      </c>
      <c r="H69" s="7">
        <f t="shared" ref="H69:H70" si="72">SUM(G69:G69)*19%</f>
        <v>406.58684615384618</v>
      </c>
      <c r="I69" s="8">
        <f t="shared" ref="I69:I70" si="73">SUM(G69:H69)</f>
        <v>2546.5176153846155</v>
      </c>
      <c r="J69" s="1">
        <v>90</v>
      </c>
      <c r="K69" s="9">
        <f t="shared" ref="K69:K70" si="74">I69*J69%</f>
        <v>2291.8658538461541</v>
      </c>
      <c r="L69" s="16"/>
      <c r="M69" s="9"/>
      <c r="N69" s="9"/>
      <c r="O69" s="9">
        <f t="shared" ref="O69:O70" si="75">SUM(G69:G69)</f>
        <v>2139.9307692307693</v>
      </c>
      <c r="P69" s="9"/>
      <c r="Q69" s="9"/>
      <c r="R69" s="9"/>
      <c r="S69" s="9"/>
      <c r="T69" s="9"/>
      <c r="U69" s="9">
        <f t="shared" ref="U69:U70" si="76">O69*$Y$2</f>
        <v>509.62451269230769</v>
      </c>
      <c r="V69" s="9">
        <f t="shared" ref="V69:V70" si="77">U69+O69</f>
        <v>2649.555281923077</v>
      </c>
      <c r="W69" s="9">
        <f t="shared" ref="W69:W70" si="78">K69</f>
        <v>2291.8658538461541</v>
      </c>
      <c r="X69" s="9">
        <f t="shared" ref="X69:X70" si="79">V69-I69</f>
        <v>103.03766653846151</v>
      </c>
      <c r="Y69" s="9">
        <f t="shared" ref="Y65:Y70" si="80">V69-W69-X69</f>
        <v>254.65176153846141</v>
      </c>
      <c r="Z69" s="7">
        <f t="shared" ref="Z69:Z70" si="81">$M$2*B69</f>
        <v>221</v>
      </c>
    </row>
    <row r="70" spans="1:26">
      <c r="A70" s="46">
        <v>46234</v>
      </c>
      <c r="B70" s="15">
        <v>1</v>
      </c>
      <c r="C70" s="6" t="s">
        <v>33</v>
      </c>
      <c r="D70" s="6" t="s">
        <v>34</v>
      </c>
      <c r="E70" s="6"/>
      <c r="F70" s="19">
        <v>2844.86</v>
      </c>
      <c r="G70" s="7">
        <f t="shared" si="71"/>
        <v>2188.3538461538465</v>
      </c>
      <c r="H70" s="7">
        <f t="shared" si="72"/>
        <v>415.78723076923086</v>
      </c>
      <c r="I70" s="8">
        <f t="shared" si="73"/>
        <v>2604.1410769230774</v>
      </c>
      <c r="J70" s="1">
        <v>80</v>
      </c>
      <c r="K70" s="9">
        <f t="shared" si="74"/>
        <v>2083.3128615384621</v>
      </c>
      <c r="L70" s="16"/>
      <c r="M70" s="9"/>
      <c r="N70" s="9"/>
      <c r="O70" s="9">
        <f t="shared" si="75"/>
        <v>2188.3538461538465</v>
      </c>
      <c r="P70" s="9"/>
      <c r="Q70" s="9"/>
      <c r="R70" s="9"/>
      <c r="S70" s="9"/>
      <c r="T70" s="9"/>
      <c r="U70" s="9">
        <f t="shared" si="76"/>
        <v>521.15646846153857</v>
      </c>
      <c r="V70" s="9">
        <f t="shared" si="77"/>
        <v>2709.5103146153851</v>
      </c>
      <c r="W70" s="9">
        <f t="shared" si="78"/>
        <v>2083.3128615384621</v>
      </c>
      <c r="X70" s="9">
        <f t="shared" si="79"/>
        <v>105.36923769230771</v>
      </c>
      <c r="Y70" s="9">
        <f t="shared" si="80"/>
        <v>520.82821538461531</v>
      </c>
      <c r="Z70" s="7">
        <f t="shared" si="81"/>
        <v>221</v>
      </c>
    </row>
    <row r="71" spans="1:26">
      <c r="A71" s="17">
        <v>46265</v>
      </c>
      <c r="B71" s="15">
        <v>1</v>
      </c>
      <c r="C71" s="6" t="s">
        <v>33</v>
      </c>
      <c r="D71" s="6" t="s">
        <v>34</v>
      </c>
      <c r="E71" s="6"/>
      <c r="F71" s="19">
        <v>2844.86</v>
      </c>
      <c r="G71" s="7">
        <f t="shared" ref="G71:G89" si="82">F71*($J$2/39)*B71</f>
        <v>2188.3538461538465</v>
      </c>
      <c r="H71" s="7">
        <f>SUM(G71:G71)*19%</f>
        <v>415.78723076923086</v>
      </c>
      <c r="I71" s="8">
        <f>SUM(G71:H71)</f>
        <v>2604.1410769230774</v>
      </c>
      <c r="J71" s="1">
        <v>80</v>
      </c>
      <c r="K71" s="9">
        <f t="shared" ref="K71:K89" si="83">I71*J71%</f>
        <v>2083.3128615384621</v>
      </c>
      <c r="L71" s="16"/>
      <c r="M71" s="9"/>
      <c r="N71" s="9"/>
      <c r="O71" s="9">
        <f>SUM(G71:G71)</f>
        <v>2188.3538461538465</v>
      </c>
      <c r="P71" s="9"/>
      <c r="Q71" s="9"/>
      <c r="R71" s="9"/>
      <c r="S71" s="9"/>
      <c r="T71" s="9"/>
      <c r="U71" s="9">
        <f t="shared" ref="U71:U75" si="84">O71*$Y$2</f>
        <v>521.15646846153857</v>
      </c>
      <c r="V71" s="9">
        <f t="shared" ref="V71:V75" si="85">U71+O71</f>
        <v>2709.5103146153851</v>
      </c>
      <c r="W71" s="9">
        <f t="shared" ref="W71:W75" si="86">K71</f>
        <v>2083.3128615384621</v>
      </c>
      <c r="X71" s="9">
        <f t="shared" ref="X71:X75" si="87">V71-I71</f>
        <v>105.36923769230771</v>
      </c>
      <c r="Y71" s="9">
        <f>V71-W71-X71</f>
        <v>520.82821538461531</v>
      </c>
      <c r="Z71" s="7">
        <f t="shared" ref="Z71:Z75" si="88">$M$2*B71</f>
        <v>221</v>
      </c>
    </row>
    <row r="72" spans="1:26">
      <c r="A72" s="44">
        <v>46295</v>
      </c>
      <c r="B72" s="15">
        <v>1</v>
      </c>
      <c r="C72" s="6" t="s">
        <v>33</v>
      </c>
      <c r="D72" s="6" t="s">
        <v>34</v>
      </c>
      <c r="E72" s="6"/>
      <c r="F72" s="19">
        <v>2942.36</v>
      </c>
      <c r="G72" s="7">
        <f t="shared" si="82"/>
        <v>2263.3538461538465</v>
      </c>
      <c r="H72" s="7">
        <f>SUM(G72:G72)*19%</f>
        <v>430.03723076923086</v>
      </c>
      <c r="I72" s="8">
        <f>SUM(G72:H72)</f>
        <v>2693.3910769230774</v>
      </c>
      <c r="J72" s="1">
        <v>80</v>
      </c>
      <c r="K72" s="9">
        <f t="shared" si="83"/>
        <v>2154.7128615384622</v>
      </c>
      <c r="L72" s="16"/>
      <c r="M72" s="49">
        <f>IF(F71*0.028&gt;=90.5,F71*0.028,97.5)</f>
        <v>97.5</v>
      </c>
      <c r="N72" s="9"/>
      <c r="O72" s="9">
        <f>SUM(G72:G72)</f>
        <v>2263.3538461538465</v>
      </c>
      <c r="P72" s="9"/>
      <c r="Q72" s="9"/>
      <c r="R72" s="9"/>
      <c r="S72" s="9"/>
      <c r="T72" s="9"/>
      <c r="U72" s="9">
        <f t="shared" si="84"/>
        <v>539.01771846153849</v>
      </c>
      <c r="V72" s="9">
        <f t="shared" si="85"/>
        <v>2802.3715646153851</v>
      </c>
      <c r="W72" s="9">
        <f>K72</f>
        <v>2154.7128615384622</v>
      </c>
      <c r="X72" s="9">
        <f t="shared" si="87"/>
        <v>108.98048769230763</v>
      </c>
      <c r="Y72" s="9">
        <f t="shared" ref="Y72:Y75" si="89">V72-W72-X72</f>
        <v>538.67821538461521</v>
      </c>
      <c r="Z72" s="7">
        <f t="shared" si="88"/>
        <v>221</v>
      </c>
    </row>
    <row r="73" spans="1:26">
      <c r="A73" s="17">
        <v>46326</v>
      </c>
      <c r="B73" s="15">
        <v>1</v>
      </c>
      <c r="C73" s="6" t="s">
        <v>33</v>
      </c>
      <c r="D73" s="6" t="s">
        <v>34</v>
      </c>
      <c r="E73" s="6"/>
      <c r="F73" s="19">
        <v>2942.36</v>
      </c>
      <c r="G73" s="7">
        <f t="shared" si="82"/>
        <v>2263.3538461538465</v>
      </c>
      <c r="H73" s="7">
        <f>SUM(G73:G73)*19%</f>
        <v>430.03723076923086</v>
      </c>
      <c r="I73" s="8">
        <f t="shared" ref="I73:I89" si="90">SUM(G73:H73)</f>
        <v>2693.3910769230774</v>
      </c>
      <c r="J73" s="1">
        <v>80</v>
      </c>
      <c r="K73" s="9">
        <f t="shared" si="83"/>
        <v>2154.7128615384622</v>
      </c>
      <c r="L73" s="16"/>
      <c r="M73" s="9"/>
      <c r="N73" s="9"/>
      <c r="O73" s="9">
        <f>SUM(G73:G73)</f>
        <v>2263.3538461538465</v>
      </c>
      <c r="P73" s="9"/>
      <c r="Q73" s="9"/>
      <c r="R73" s="9"/>
      <c r="S73" s="9"/>
      <c r="T73" s="9"/>
      <c r="U73" s="9">
        <f t="shared" si="84"/>
        <v>539.01771846153849</v>
      </c>
      <c r="V73" s="9">
        <f t="shared" si="85"/>
        <v>2802.3715646153851</v>
      </c>
      <c r="W73" s="9">
        <f t="shared" si="86"/>
        <v>2154.7128615384622</v>
      </c>
      <c r="X73" s="9">
        <f t="shared" si="87"/>
        <v>108.98048769230763</v>
      </c>
      <c r="Y73" s="9">
        <f t="shared" si="89"/>
        <v>538.67821538461521</v>
      </c>
      <c r="Z73" s="7">
        <f t="shared" si="88"/>
        <v>221</v>
      </c>
    </row>
    <row r="74" spans="1:26">
      <c r="A74" s="17">
        <v>46356</v>
      </c>
      <c r="B74" s="15">
        <v>1</v>
      </c>
      <c r="C74" s="6" t="s">
        <v>33</v>
      </c>
      <c r="D74" s="6" t="s">
        <v>34</v>
      </c>
      <c r="E74" s="6"/>
      <c r="F74" s="19">
        <v>2942.36</v>
      </c>
      <c r="G74" s="7">
        <f t="shared" si="82"/>
        <v>2263.3538461538465</v>
      </c>
      <c r="H74" s="7">
        <f>SUM(G74:G74)*19%</f>
        <v>430.03723076923086</v>
      </c>
      <c r="I74" s="8">
        <f t="shared" si="90"/>
        <v>2693.3910769230774</v>
      </c>
      <c r="J74" s="1">
        <v>80</v>
      </c>
      <c r="K74" s="9">
        <f t="shared" si="83"/>
        <v>2154.7128615384622</v>
      </c>
      <c r="L74" s="16"/>
      <c r="M74" s="9"/>
      <c r="N74" s="9"/>
      <c r="O74" s="9">
        <f>SUM(G74:G74)</f>
        <v>2263.3538461538465</v>
      </c>
      <c r="P74" s="9"/>
      <c r="Q74" s="9"/>
      <c r="R74" s="9"/>
      <c r="S74" s="9"/>
      <c r="T74" s="9"/>
      <c r="U74" s="9">
        <f t="shared" si="84"/>
        <v>539.01771846153849</v>
      </c>
      <c r="V74" s="9">
        <f t="shared" si="85"/>
        <v>2802.3715646153851</v>
      </c>
      <c r="W74" s="9">
        <f t="shared" si="86"/>
        <v>2154.7128615384622</v>
      </c>
      <c r="X74" s="9">
        <f t="shared" si="87"/>
        <v>108.98048769230763</v>
      </c>
      <c r="Y74" s="9">
        <f>V74-W74-X74</f>
        <v>538.67821538461521</v>
      </c>
      <c r="Z74" s="7">
        <f t="shared" si="88"/>
        <v>221</v>
      </c>
    </row>
    <row r="75" spans="1:26">
      <c r="A75" s="52">
        <v>46387</v>
      </c>
      <c r="B75" s="15">
        <v>1</v>
      </c>
      <c r="C75" s="6" t="s">
        <v>33</v>
      </c>
      <c r="D75" s="6" t="s">
        <v>34</v>
      </c>
      <c r="E75" s="6"/>
      <c r="F75" s="19">
        <v>2942.36</v>
      </c>
      <c r="G75" s="7">
        <f t="shared" si="82"/>
        <v>2263.3538461538465</v>
      </c>
      <c r="H75" s="7">
        <f>SUM(G75:G75)*19%</f>
        <v>430.03723076923086</v>
      </c>
      <c r="I75" s="8">
        <f t="shared" si="90"/>
        <v>2693.3910769230774</v>
      </c>
      <c r="J75" s="1">
        <v>80</v>
      </c>
      <c r="K75" s="9">
        <f t="shared" si="83"/>
        <v>2154.7128615384622</v>
      </c>
      <c r="L75" s="16"/>
      <c r="M75" s="9"/>
      <c r="N75" s="9"/>
      <c r="O75" s="9">
        <f>SUM(G75:G75)</f>
        <v>2263.3538461538465</v>
      </c>
      <c r="P75" s="9"/>
      <c r="Q75" s="9"/>
      <c r="R75" s="9"/>
      <c r="S75" s="9"/>
      <c r="T75" s="9"/>
      <c r="U75" s="9">
        <f t="shared" si="84"/>
        <v>539.01771846153849</v>
      </c>
      <c r="V75" s="9">
        <f t="shared" si="85"/>
        <v>2802.3715646153851</v>
      </c>
      <c r="W75" s="9">
        <f t="shared" si="86"/>
        <v>2154.7128615384622</v>
      </c>
      <c r="X75" s="9">
        <f t="shared" si="87"/>
        <v>108.98048769230763</v>
      </c>
      <c r="Y75" s="9">
        <f t="shared" si="89"/>
        <v>538.67821538461521</v>
      </c>
      <c r="Z75" s="7">
        <f t="shared" si="88"/>
        <v>221</v>
      </c>
    </row>
    <row r="76" spans="1:26">
      <c r="A76" s="17"/>
      <c r="B76" s="15"/>
      <c r="C76" s="6"/>
      <c r="D76" s="6"/>
      <c r="E76" s="6"/>
      <c r="F76" s="19"/>
      <c r="G76" s="7"/>
      <c r="H76" s="7"/>
      <c r="I76" s="13"/>
      <c r="J76" s="1"/>
      <c r="K76" s="9"/>
      <c r="L76" s="16">
        <f>SUM(B64:B75)</f>
        <v>12</v>
      </c>
      <c r="M76" s="9"/>
      <c r="N76" s="9"/>
      <c r="O76" s="21" t="s">
        <v>35</v>
      </c>
      <c r="P76" s="21"/>
      <c r="Q76" s="21"/>
      <c r="R76" s="21"/>
      <c r="S76" s="21"/>
      <c r="T76" s="21"/>
      <c r="U76" s="21"/>
      <c r="V76" s="21"/>
      <c r="W76" s="21"/>
      <c r="X76" s="21">
        <f>IF(V75&gt;0,O72*85%*(L76/12),0)</f>
        <v>1923.8507692307694</v>
      </c>
      <c r="Y76" s="22"/>
      <c r="Z76" s="21"/>
    </row>
    <row r="77" spans="1:26">
      <c r="A77" s="17"/>
      <c r="B77" s="15"/>
      <c r="C77" s="6"/>
      <c r="D77" s="6"/>
      <c r="E77" s="6"/>
      <c r="F77" s="19"/>
      <c r="G77" s="7"/>
      <c r="H77" s="7"/>
      <c r="I77" s="13"/>
      <c r="J77" s="1"/>
      <c r="K77" s="9"/>
      <c r="M77" s="9"/>
      <c r="N77" s="9"/>
      <c r="O77" s="21" t="s">
        <v>36</v>
      </c>
      <c r="P77" s="21"/>
      <c r="Q77" s="21"/>
      <c r="R77" s="21"/>
      <c r="S77" s="21"/>
      <c r="T77" s="21"/>
      <c r="U77" s="21"/>
      <c r="V77" s="22"/>
      <c r="W77" s="21"/>
      <c r="X77" s="21">
        <f>IF(V75&gt;0,U72*85%*(L76/12),0)</f>
        <v>458.16506069230769</v>
      </c>
      <c r="Y77" s="22"/>
      <c r="Z77" s="21"/>
    </row>
    <row r="78" spans="1:26">
      <c r="A78" s="17"/>
      <c r="B78" s="15"/>
      <c r="C78" s="6"/>
      <c r="D78" s="6"/>
      <c r="E78" s="6"/>
      <c r="F78" s="19"/>
      <c r="G78" s="7"/>
      <c r="H78" s="7"/>
      <c r="I78" s="13"/>
      <c r="J78" s="1"/>
      <c r="K78" s="9"/>
      <c r="L78" s="16"/>
      <c r="M78" s="9"/>
      <c r="N78" s="9"/>
      <c r="O78" s="10">
        <f>SUM(O49:O75)</f>
        <v>74793.061538461538</v>
      </c>
      <c r="P78" s="10">
        <f t="shared" ref="P78:U78" si="91">SUM(P49:P77)</f>
        <v>0</v>
      </c>
      <c r="Q78" s="10">
        <f t="shared" si="91"/>
        <v>0</v>
      </c>
      <c r="R78" s="10">
        <f t="shared" si="91"/>
        <v>0</v>
      </c>
      <c r="S78" s="10">
        <f t="shared" si="91"/>
        <v>0</v>
      </c>
      <c r="T78" s="10">
        <f t="shared" si="91"/>
        <v>0</v>
      </c>
      <c r="U78" s="10">
        <f>SUM(U64:U75)</f>
        <v>6256.1308869230779</v>
      </c>
      <c r="V78" s="10">
        <f>SUM(V64:V75)</f>
        <v>32525.838579230774</v>
      </c>
      <c r="W78" s="10">
        <f>SUM(W64:W75)</f>
        <v>26536.672292307692</v>
      </c>
      <c r="X78" s="10">
        <f>SUM(X64:X75)</f>
        <v>1264.886425384615</v>
      </c>
      <c r="Y78" s="10">
        <f>SUM(Y64:Y75)</f>
        <v>4724.27986153846</v>
      </c>
      <c r="Z78" s="10">
        <f>SUM(Z64:Z75)</f>
        <v>2652</v>
      </c>
    </row>
    <row r="79" spans="1:26">
      <c r="A79" s="17">
        <v>46418</v>
      </c>
      <c r="B79" s="15">
        <v>1</v>
      </c>
      <c r="C79" s="6" t="s">
        <v>33</v>
      </c>
      <c r="D79" s="6" t="s">
        <v>34</v>
      </c>
      <c r="E79" s="6"/>
      <c r="F79" s="19">
        <v>2942.36</v>
      </c>
      <c r="G79" s="7">
        <f t="shared" si="82"/>
        <v>2263.3538461538465</v>
      </c>
      <c r="H79" s="7">
        <f>SUM(G79:G79)*19%</f>
        <v>430.03723076923086</v>
      </c>
      <c r="I79" s="8">
        <f>SUM(G79:H79)</f>
        <v>2693.3910769230774</v>
      </c>
      <c r="J79" s="1">
        <v>80</v>
      </c>
      <c r="K79" s="9">
        <f t="shared" si="83"/>
        <v>2154.7128615384622</v>
      </c>
      <c r="L79" s="16"/>
      <c r="M79" s="9"/>
      <c r="N79" s="9"/>
      <c r="O79" s="9">
        <f>SUM(G79:G79)</f>
        <v>2263.3538461538465</v>
      </c>
      <c r="P79" s="9"/>
      <c r="Q79" s="9"/>
      <c r="R79" s="9"/>
      <c r="S79" s="9"/>
      <c r="T79" s="9"/>
      <c r="U79" s="9">
        <f>O79*$Y$2</f>
        <v>539.01771846153849</v>
      </c>
      <c r="V79" s="9">
        <f>SUM(O79:U79)</f>
        <v>2802.3715646153851</v>
      </c>
      <c r="W79" s="9">
        <f t="shared" ref="W79:W90" si="92">K79</f>
        <v>2154.7128615384622</v>
      </c>
      <c r="X79" s="9">
        <f t="shared" ref="X79:X90" si="93">V79-I79</f>
        <v>108.98048769230763</v>
      </c>
      <c r="Y79" s="9">
        <f>V79-W79-X79</f>
        <v>538.67821538461521</v>
      </c>
      <c r="Z79" s="9">
        <f>$M$2*B79</f>
        <v>221</v>
      </c>
    </row>
    <row r="80" spans="1:26">
      <c r="A80" s="17">
        <v>46446</v>
      </c>
      <c r="B80" s="15">
        <v>1</v>
      </c>
      <c r="C80" s="6" t="s">
        <v>33</v>
      </c>
      <c r="D80" s="6" t="s">
        <v>34</v>
      </c>
      <c r="E80" s="6"/>
      <c r="F80" s="19">
        <v>2942.36</v>
      </c>
      <c r="G80" s="7">
        <f t="shared" si="82"/>
        <v>2263.3538461538465</v>
      </c>
      <c r="H80" s="7">
        <f>SUM(G80:G80)*19%</f>
        <v>430.03723076923086</v>
      </c>
      <c r="I80" s="8">
        <f t="shared" si="90"/>
        <v>2693.3910769230774</v>
      </c>
      <c r="J80" s="1">
        <v>80</v>
      </c>
      <c r="K80" s="9">
        <f t="shared" si="83"/>
        <v>2154.7128615384622</v>
      </c>
      <c r="L80" s="16"/>
      <c r="M80" s="9"/>
      <c r="N80" s="9"/>
      <c r="O80" s="9">
        <f>SUM(G80:G80)</f>
        <v>2263.3538461538465</v>
      </c>
      <c r="P80" s="9"/>
      <c r="Q80" s="9"/>
      <c r="R80" s="9"/>
      <c r="S80" s="9"/>
      <c r="T80" s="9"/>
      <c r="U80" s="9">
        <f t="shared" ref="U80:U90" si="94">O80*$Y$2</f>
        <v>539.01771846153849</v>
      </c>
      <c r="V80" s="9">
        <f t="shared" ref="V80:V90" si="95">SUM(O80:U80)</f>
        <v>2802.3715646153851</v>
      </c>
      <c r="W80" s="9">
        <f t="shared" si="92"/>
        <v>2154.7128615384622</v>
      </c>
      <c r="X80" s="9">
        <f t="shared" si="93"/>
        <v>108.98048769230763</v>
      </c>
      <c r="Y80" s="9">
        <f t="shared" ref="Y80:Y90" si="96">V80-W80-X80</f>
        <v>538.67821538461521</v>
      </c>
      <c r="Z80" s="9">
        <f t="shared" ref="Z80:Z89" si="97">$M$2*B80</f>
        <v>221</v>
      </c>
    </row>
    <row r="81" spans="1:26">
      <c r="A81" s="17">
        <v>46477</v>
      </c>
      <c r="B81" s="15">
        <v>1</v>
      </c>
      <c r="C81" s="6" t="s">
        <v>33</v>
      </c>
      <c r="D81" s="6" t="s">
        <v>34</v>
      </c>
      <c r="E81" s="6"/>
      <c r="F81" s="19">
        <v>2942.36</v>
      </c>
      <c r="G81" s="7">
        <f t="shared" si="82"/>
        <v>2263.3538461538465</v>
      </c>
      <c r="H81" s="7">
        <f>SUM(G81:G81)*19%</f>
        <v>430.03723076923086</v>
      </c>
      <c r="I81" s="8">
        <f t="shared" si="90"/>
        <v>2693.3910769230774</v>
      </c>
      <c r="J81" s="1">
        <v>80</v>
      </c>
      <c r="K81" s="9">
        <f t="shared" si="83"/>
        <v>2154.7128615384622</v>
      </c>
      <c r="L81" s="16"/>
      <c r="M81" s="9"/>
      <c r="N81" s="9"/>
      <c r="O81" s="9">
        <f>SUM(G81:G81)</f>
        <v>2263.3538461538465</v>
      </c>
      <c r="P81" s="9"/>
      <c r="Q81" s="9"/>
      <c r="R81" s="9"/>
      <c r="S81" s="9"/>
      <c r="T81" s="9"/>
      <c r="U81" s="9">
        <f t="shared" si="94"/>
        <v>539.01771846153849</v>
      </c>
      <c r="V81" s="9">
        <f t="shared" si="95"/>
        <v>2802.3715646153851</v>
      </c>
      <c r="W81" s="9">
        <f t="shared" si="92"/>
        <v>2154.7128615384622</v>
      </c>
      <c r="X81" s="9">
        <f t="shared" si="93"/>
        <v>108.98048769230763</v>
      </c>
      <c r="Y81" s="9">
        <f t="shared" si="96"/>
        <v>538.67821538461521</v>
      </c>
      <c r="Z81" s="9">
        <f t="shared" si="97"/>
        <v>221</v>
      </c>
    </row>
    <row r="82" spans="1:26">
      <c r="A82" s="17">
        <v>46507</v>
      </c>
      <c r="B82" s="15">
        <v>1</v>
      </c>
      <c r="C82" s="6" t="s">
        <v>33</v>
      </c>
      <c r="D82" s="6" t="s">
        <v>34</v>
      </c>
      <c r="E82" s="6"/>
      <c r="F82" s="19">
        <v>2942.36</v>
      </c>
      <c r="G82" s="7">
        <f t="shared" si="82"/>
        <v>2263.3538461538465</v>
      </c>
      <c r="H82" s="7">
        <f>SUM(G82:G82)*19%</f>
        <v>430.03723076923086</v>
      </c>
      <c r="I82" s="8">
        <f>SUM(G82:H82)</f>
        <v>2693.3910769230774</v>
      </c>
      <c r="J82" s="1">
        <v>80</v>
      </c>
      <c r="K82" s="9">
        <f t="shared" si="83"/>
        <v>2154.7128615384622</v>
      </c>
      <c r="L82" s="16"/>
      <c r="M82" s="9"/>
      <c r="N82" s="9"/>
      <c r="O82" s="9">
        <f>SUM(G82:G82)</f>
        <v>2263.3538461538465</v>
      </c>
      <c r="P82" s="9"/>
      <c r="Q82" s="9"/>
      <c r="R82" s="9"/>
      <c r="S82" s="9"/>
      <c r="T82" s="9"/>
      <c r="U82" s="9">
        <f t="shared" si="94"/>
        <v>539.01771846153849</v>
      </c>
      <c r="V82" s="9">
        <f t="shared" si="95"/>
        <v>2802.3715646153851</v>
      </c>
      <c r="W82" s="9">
        <f t="shared" si="92"/>
        <v>2154.7128615384622</v>
      </c>
      <c r="X82" s="9">
        <f t="shared" si="93"/>
        <v>108.98048769230763</v>
      </c>
      <c r="Y82" s="9">
        <f t="shared" si="96"/>
        <v>538.67821538461521</v>
      </c>
      <c r="Z82" s="9">
        <f t="shared" si="97"/>
        <v>221</v>
      </c>
    </row>
    <row r="83" spans="1:26">
      <c r="A83" s="17">
        <v>46538</v>
      </c>
      <c r="B83" s="15">
        <v>1</v>
      </c>
      <c r="C83" s="6" t="s">
        <v>33</v>
      </c>
      <c r="D83" s="6" t="s">
        <v>34</v>
      </c>
      <c r="E83" s="6"/>
      <c r="F83" s="19">
        <v>2942.36</v>
      </c>
      <c r="G83" s="7">
        <f t="shared" si="82"/>
        <v>2263.3538461538465</v>
      </c>
      <c r="H83" s="7">
        <f>SUM(G83:G83)*19%</f>
        <v>430.03723076923086</v>
      </c>
      <c r="I83" s="8">
        <f t="shared" si="90"/>
        <v>2693.3910769230774</v>
      </c>
      <c r="J83" s="1">
        <v>80</v>
      </c>
      <c r="K83" s="9">
        <f t="shared" si="83"/>
        <v>2154.7128615384622</v>
      </c>
      <c r="L83" s="16"/>
      <c r="M83" s="9"/>
      <c r="N83" s="9"/>
      <c r="O83" s="9">
        <f>SUM(G83:G83)</f>
        <v>2263.3538461538465</v>
      </c>
      <c r="P83" s="9"/>
      <c r="Q83" s="9"/>
      <c r="R83" s="9"/>
      <c r="S83" s="9"/>
      <c r="T83" s="9"/>
      <c r="U83" s="9">
        <f t="shared" si="94"/>
        <v>539.01771846153849</v>
      </c>
      <c r="V83" s="9">
        <f t="shared" si="95"/>
        <v>2802.3715646153851</v>
      </c>
      <c r="W83" s="9">
        <f t="shared" si="92"/>
        <v>2154.7128615384622</v>
      </c>
      <c r="X83" s="9">
        <f t="shared" si="93"/>
        <v>108.98048769230763</v>
      </c>
      <c r="Y83" s="9">
        <f t="shared" si="96"/>
        <v>538.67821538461521</v>
      </c>
      <c r="Z83" s="9">
        <f t="shared" si="97"/>
        <v>221</v>
      </c>
    </row>
    <row r="84" spans="1:26">
      <c r="A84" s="17">
        <v>46553</v>
      </c>
      <c r="B84" s="15">
        <v>1</v>
      </c>
      <c r="C84" s="6" t="s">
        <v>33</v>
      </c>
      <c r="D84" s="6" t="s">
        <v>34</v>
      </c>
      <c r="E84" s="6"/>
      <c r="F84" s="19">
        <v>2942.36</v>
      </c>
      <c r="G84" s="7">
        <f t="shared" si="82"/>
        <v>2263.3538461538465</v>
      </c>
      <c r="H84" s="7">
        <f>SUM(G84:G84)*19%</f>
        <v>430.03723076923086</v>
      </c>
      <c r="I84" s="8">
        <f t="shared" si="90"/>
        <v>2693.3910769230774</v>
      </c>
      <c r="J84" s="1">
        <v>80</v>
      </c>
      <c r="K84" s="9">
        <f t="shared" si="83"/>
        <v>2154.7128615384622</v>
      </c>
      <c r="L84" s="16"/>
      <c r="M84" s="9"/>
      <c r="N84" s="9"/>
      <c r="O84" s="9">
        <f>SUM(G84:G84)</f>
        <v>2263.3538461538465</v>
      </c>
      <c r="P84" s="9"/>
      <c r="Q84" s="9"/>
      <c r="R84" s="9"/>
      <c r="S84" s="9"/>
      <c r="T84" s="9"/>
      <c r="U84" s="9">
        <f t="shared" si="94"/>
        <v>539.01771846153849</v>
      </c>
      <c r="V84" s="9">
        <f t="shared" si="95"/>
        <v>2802.3715646153851</v>
      </c>
      <c r="W84" s="9">
        <f t="shared" si="92"/>
        <v>2154.7128615384622</v>
      </c>
      <c r="X84" s="9">
        <f t="shared" si="93"/>
        <v>108.98048769230763</v>
      </c>
      <c r="Y84" s="9">
        <f t="shared" si="96"/>
        <v>538.67821538461521</v>
      </c>
      <c r="Z84" s="9">
        <f t="shared" si="97"/>
        <v>221</v>
      </c>
    </row>
    <row r="85" spans="1:26">
      <c r="A85" s="44">
        <v>46599</v>
      </c>
      <c r="B85" s="15">
        <v>1</v>
      </c>
      <c r="C85" s="6" t="s">
        <v>33</v>
      </c>
      <c r="D85" s="6" t="s">
        <v>34</v>
      </c>
      <c r="E85" s="6"/>
      <c r="F85" s="19">
        <v>3001.21</v>
      </c>
      <c r="G85" s="7">
        <f t="shared" si="82"/>
        <v>2308.623076923077</v>
      </c>
      <c r="H85" s="7">
        <f>SUM(G85:G85)*19%</f>
        <v>438.63838461538461</v>
      </c>
      <c r="I85" s="8">
        <f t="shared" si="90"/>
        <v>2747.2614615384614</v>
      </c>
      <c r="J85" s="1">
        <v>70</v>
      </c>
      <c r="K85" s="9">
        <f t="shared" si="83"/>
        <v>1923.0830230769229</v>
      </c>
      <c r="L85" s="16"/>
      <c r="M85" s="49">
        <f>(F84*1.02)-F84</f>
        <v>58.847200000000157</v>
      </c>
      <c r="N85" s="9"/>
      <c r="O85" s="9">
        <f>SUM(G85:G85)</f>
        <v>2308.623076923077</v>
      </c>
      <c r="P85" s="9"/>
      <c r="Q85" s="9"/>
      <c r="R85" s="9"/>
      <c r="S85" s="9"/>
      <c r="T85" s="9"/>
      <c r="U85" s="9">
        <f t="shared" si="94"/>
        <v>549.79858576923073</v>
      </c>
      <c r="V85" s="9">
        <f>SUM(O85:U85)</f>
        <v>2858.4216626923076</v>
      </c>
      <c r="W85" s="9">
        <f t="shared" si="92"/>
        <v>1923.0830230769229</v>
      </c>
      <c r="X85" s="9">
        <f t="shared" si="93"/>
        <v>111.16020115384617</v>
      </c>
      <c r="Y85" s="9">
        <f t="shared" si="96"/>
        <v>824.17843846153846</v>
      </c>
      <c r="Z85" s="9">
        <f t="shared" si="97"/>
        <v>221</v>
      </c>
    </row>
    <row r="86" spans="1:26">
      <c r="A86" s="17">
        <v>46630</v>
      </c>
      <c r="B86" s="15">
        <v>1</v>
      </c>
      <c r="C86" s="6" t="s">
        <v>33</v>
      </c>
      <c r="D86" s="6" t="s">
        <v>34</v>
      </c>
      <c r="E86" s="6"/>
      <c r="F86" s="19">
        <v>3001.21</v>
      </c>
      <c r="G86" s="7">
        <f t="shared" si="82"/>
        <v>2308.623076923077</v>
      </c>
      <c r="H86" s="7">
        <f>SUM(G86:G86)*19%</f>
        <v>438.63838461538461</v>
      </c>
      <c r="I86" s="8">
        <f t="shared" si="90"/>
        <v>2747.2614615384614</v>
      </c>
      <c r="J86" s="1">
        <v>70</v>
      </c>
      <c r="K86" s="9">
        <f t="shared" si="83"/>
        <v>1923.0830230769229</v>
      </c>
      <c r="L86" s="16"/>
      <c r="M86" s="9"/>
      <c r="N86" s="9"/>
      <c r="O86" s="9">
        <f>SUM(G86:G86)</f>
        <v>2308.623076923077</v>
      </c>
      <c r="P86" s="9"/>
      <c r="Q86" s="9"/>
      <c r="R86" s="9"/>
      <c r="S86" s="9"/>
      <c r="T86" s="9"/>
      <c r="U86" s="9">
        <f t="shared" si="94"/>
        <v>549.79858576923073</v>
      </c>
      <c r="V86" s="9">
        <f t="shared" si="95"/>
        <v>2858.4216626923076</v>
      </c>
      <c r="W86" s="9">
        <f t="shared" si="92"/>
        <v>1923.0830230769229</v>
      </c>
      <c r="X86" s="9">
        <f t="shared" si="93"/>
        <v>111.16020115384617</v>
      </c>
      <c r="Y86" s="9">
        <f t="shared" si="96"/>
        <v>824.17843846153846</v>
      </c>
      <c r="Z86" s="9">
        <f t="shared" si="97"/>
        <v>221</v>
      </c>
    </row>
    <row r="87" spans="1:26">
      <c r="A87" s="17">
        <v>46660</v>
      </c>
      <c r="B87" s="15">
        <v>1</v>
      </c>
      <c r="C87" s="6" t="s">
        <v>33</v>
      </c>
      <c r="D87" s="6" t="s">
        <v>34</v>
      </c>
      <c r="E87" s="6"/>
      <c r="F87" s="19">
        <v>3001.21</v>
      </c>
      <c r="G87" s="7">
        <f t="shared" si="82"/>
        <v>2308.623076923077</v>
      </c>
      <c r="H87" s="7">
        <f>SUM(G87:G87)*19%</f>
        <v>438.63838461538461</v>
      </c>
      <c r="I87" s="8">
        <f t="shared" si="90"/>
        <v>2747.2614615384614</v>
      </c>
      <c r="J87" s="1">
        <v>70</v>
      </c>
      <c r="K87" s="9">
        <f t="shared" si="83"/>
        <v>1923.0830230769229</v>
      </c>
      <c r="L87" s="16"/>
      <c r="M87" s="9"/>
      <c r="N87" s="9"/>
      <c r="O87" s="9">
        <f>SUM(G87:G87)</f>
        <v>2308.623076923077</v>
      </c>
      <c r="P87" s="9"/>
      <c r="Q87" s="9"/>
      <c r="R87" s="9"/>
      <c r="S87" s="9"/>
      <c r="T87" s="9"/>
      <c r="U87" s="9">
        <f t="shared" si="94"/>
        <v>549.79858576923073</v>
      </c>
      <c r="V87" s="9">
        <f t="shared" si="95"/>
        <v>2858.4216626923076</v>
      </c>
      <c r="W87" s="9">
        <f t="shared" si="92"/>
        <v>1923.0830230769229</v>
      </c>
      <c r="X87" s="9">
        <f t="shared" si="93"/>
        <v>111.16020115384617</v>
      </c>
      <c r="Y87" s="9">
        <f t="shared" si="96"/>
        <v>824.17843846153846</v>
      </c>
      <c r="Z87" s="9">
        <f t="shared" si="97"/>
        <v>221</v>
      </c>
    </row>
    <row r="88" spans="1:26">
      <c r="A88" s="17">
        <v>46691</v>
      </c>
      <c r="B88" s="15">
        <v>1</v>
      </c>
      <c r="C88" s="6" t="s">
        <v>33</v>
      </c>
      <c r="D88" s="6" t="s">
        <v>34</v>
      </c>
      <c r="E88" s="6"/>
      <c r="F88" s="19">
        <v>3001.21</v>
      </c>
      <c r="G88" s="7">
        <f t="shared" si="82"/>
        <v>2308.623076923077</v>
      </c>
      <c r="H88" s="7">
        <f>SUM(G88:G88)*19%</f>
        <v>438.63838461538461</v>
      </c>
      <c r="I88" s="8">
        <f t="shared" si="90"/>
        <v>2747.2614615384614</v>
      </c>
      <c r="J88" s="1">
        <v>70</v>
      </c>
      <c r="K88" s="9">
        <f t="shared" si="83"/>
        <v>1923.0830230769229</v>
      </c>
      <c r="L88" s="16"/>
      <c r="M88" s="9"/>
      <c r="N88" s="9"/>
      <c r="O88" s="9">
        <f>SUM(G88:G88)</f>
        <v>2308.623076923077</v>
      </c>
      <c r="P88" s="9"/>
      <c r="Q88" s="9"/>
      <c r="R88" s="9"/>
      <c r="S88" s="9"/>
      <c r="T88" s="9"/>
      <c r="U88" s="9">
        <f t="shared" si="94"/>
        <v>549.79858576923073</v>
      </c>
      <c r="V88" s="9">
        <f t="shared" si="95"/>
        <v>2858.4216626923076</v>
      </c>
      <c r="W88" s="9">
        <f t="shared" si="92"/>
        <v>1923.0830230769229</v>
      </c>
      <c r="X88" s="9">
        <f t="shared" si="93"/>
        <v>111.16020115384617</v>
      </c>
      <c r="Y88" s="9">
        <f t="shared" si="96"/>
        <v>824.17843846153846</v>
      </c>
      <c r="Z88" s="9">
        <f t="shared" si="97"/>
        <v>221</v>
      </c>
    </row>
    <row r="89" spans="1:26">
      <c r="A89" s="47">
        <v>46706</v>
      </c>
      <c r="B89" s="15">
        <v>0.5</v>
      </c>
      <c r="C89" s="6" t="s">
        <v>33</v>
      </c>
      <c r="D89" s="6" t="s">
        <v>34</v>
      </c>
      <c r="E89" s="6"/>
      <c r="F89" s="19">
        <v>3001.21</v>
      </c>
      <c r="G89" s="7">
        <f t="shared" si="82"/>
        <v>1154.3115384615385</v>
      </c>
      <c r="H89" s="7">
        <f>SUM(G89:G89)*19%</f>
        <v>219.3191923076923</v>
      </c>
      <c r="I89" s="8">
        <f t="shared" si="90"/>
        <v>1373.6307307692307</v>
      </c>
      <c r="J89" s="1">
        <v>70</v>
      </c>
      <c r="K89" s="9">
        <f t="shared" si="83"/>
        <v>961.54151153846146</v>
      </c>
      <c r="L89" s="16"/>
      <c r="M89" s="9"/>
      <c r="N89" s="9"/>
      <c r="O89" s="9">
        <f>SUM(G89:G89)</f>
        <v>1154.3115384615385</v>
      </c>
      <c r="P89" s="9"/>
      <c r="Q89" s="9"/>
      <c r="R89" s="9"/>
      <c r="S89" s="9"/>
      <c r="T89" s="9"/>
      <c r="U89" s="9">
        <f t="shared" si="94"/>
        <v>274.89929288461536</v>
      </c>
      <c r="V89" s="9">
        <f t="shared" si="95"/>
        <v>1429.2108313461538</v>
      </c>
      <c r="W89" s="9">
        <f t="shared" si="92"/>
        <v>961.54151153846146</v>
      </c>
      <c r="X89" s="9">
        <f t="shared" si="93"/>
        <v>55.580100576923087</v>
      </c>
      <c r="Y89" s="9">
        <f t="shared" si="96"/>
        <v>412.08921923076923</v>
      </c>
      <c r="Z89" s="9">
        <f t="shared" si="97"/>
        <v>110.5</v>
      </c>
    </row>
    <row r="90" spans="1:26">
      <c r="A90" s="17"/>
      <c r="B90" s="15"/>
      <c r="C90" s="6" t="s">
        <v>33</v>
      </c>
      <c r="D90" s="6" t="s">
        <v>34</v>
      </c>
      <c r="E90" s="6"/>
      <c r="F90" s="19"/>
      <c r="G90" s="7">
        <f t="shared" ref="G90" si="98">F90*($J$2/39)*B90</f>
        <v>0</v>
      </c>
      <c r="H90" s="7">
        <f>SUM(G90:G90)*19%</f>
        <v>0</v>
      </c>
      <c r="I90" s="8">
        <f t="shared" ref="I90" si="99">SUM(G90:H90)</f>
        <v>0</v>
      </c>
      <c r="J90" s="1"/>
      <c r="K90" s="9">
        <f t="shared" ref="K90" si="100">I90*J90%</f>
        <v>0</v>
      </c>
      <c r="L90" s="16"/>
      <c r="M90" s="9"/>
      <c r="N90" s="9"/>
      <c r="O90" s="9">
        <f>SUM(G90:G90)</f>
        <v>0</v>
      </c>
      <c r="P90" s="9"/>
      <c r="Q90" s="9"/>
      <c r="R90" s="9"/>
      <c r="S90" s="9"/>
      <c r="T90" s="9"/>
      <c r="U90" s="9">
        <f t="shared" si="94"/>
        <v>0</v>
      </c>
      <c r="V90" s="9">
        <f t="shared" si="95"/>
        <v>0</v>
      </c>
      <c r="W90" s="9">
        <f t="shared" si="92"/>
        <v>0</v>
      </c>
      <c r="X90" s="9">
        <f t="shared" si="93"/>
        <v>0</v>
      </c>
      <c r="Y90" s="9">
        <f t="shared" si="96"/>
        <v>0</v>
      </c>
      <c r="Z90" s="9">
        <f>$M$2*B90</f>
        <v>0</v>
      </c>
    </row>
    <row r="91" spans="1:26">
      <c r="A91" s="17"/>
      <c r="B91" s="15"/>
      <c r="C91" s="6"/>
      <c r="D91" s="6"/>
      <c r="E91" s="6"/>
      <c r="F91" s="19"/>
      <c r="G91" s="7"/>
      <c r="H91" s="7"/>
      <c r="I91" s="13"/>
      <c r="J91" s="1"/>
      <c r="K91" s="9"/>
      <c r="L91" s="16">
        <f>SUM(B79:B90)</f>
        <v>10.5</v>
      </c>
      <c r="M91" s="9"/>
      <c r="N91" s="9"/>
      <c r="O91" s="21" t="s">
        <v>35</v>
      </c>
      <c r="P91" s="21"/>
      <c r="Q91" s="21"/>
      <c r="R91" s="21"/>
      <c r="S91" s="21"/>
      <c r="T91" s="21"/>
      <c r="U91" s="21"/>
      <c r="V91" s="21"/>
      <c r="W91" s="21"/>
      <c r="X91" s="21">
        <f>IF(V90&gt;0,O87*85%*(L91/12),0)</f>
        <v>0</v>
      </c>
      <c r="Y91" s="22"/>
      <c r="Z91" s="21"/>
    </row>
    <row r="92" spans="1:26">
      <c r="A92" s="17"/>
      <c r="B92" s="15"/>
      <c r="C92" s="6"/>
      <c r="D92" s="6"/>
      <c r="E92" s="6"/>
      <c r="F92" s="19"/>
      <c r="G92" s="7"/>
      <c r="H92" s="7"/>
      <c r="I92" s="13"/>
      <c r="J92" s="1"/>
      <c r="K92" s="9"/>
      <c r="M92" s="9"/>
      <c r="N92" s="9"/>
      <c r="O92" s="21" t="s">
        <v>36</v>
      </c>
      <c r="P92" s="21"/>
      <c r="Q92" s="21"/>
      <c r="R92" s="21"/>
      <c r="S92" s="21"/>
      <c r="T92" s="21"/>
      <c r="U92" s="21"/>
      <c r="V92" s="22"/>
      <c r="W92" s="21"/>
      <c r="X92" s="21">
        <f>IF(V90&gt;0,U87*85%*(L91/12),0)</f>
        <v>0</v>
      </c>
      <c r="Y92" s="22"/>
      <c r="Z92" s="21"/>
    </row>
    <row r="93" spans="1:26">
      <c r="A93" s="17"/>
      <c r="B93" s="15"/>
      <c r="C93" s="6"/>
      <c r="D93" s="6"/>
      <c r="E93" s="6"/>
      <c r="F93" s="19"/>
      <c r="G93" s="7"/>
      <c r="H93" s="7"/>
      <c r="I93" s="13"/>
      <c r="J93" s="1"/>
      <c r="K93" s="9"/>
      <c r="L93" s="16"/>
      <c r="M93" s="9"/>
      <c r="N93" s="9"/>
      <c r="O93" s="10">
        <f>SUM(O79:O92)</f>
        <v>23968.926923076921</v>
      </c>
      <c r="P93" s="10">
        <f t="shared" ref="P93:U93" si="101">SUM(P79:P92)</f>
        <v>0</v>
      </c>
      <c r="Q93" s="10">
        <f t="shared" si="101"/>
        <v>0</v>
      </c>
      <c r="R93" s="10">
        <f t="shared" si="101"/>
        <v>0</v>
      </c>
      <c r="S93" s="10">
        <f t="shared" si="101"/>
        <v>0</v>
      </c>
      <c r="T93" s="10">
        <f t="shared" si="101"/>
        <v>0</v>
      </c>
      <c r="U93" s="10">
        <f t="shared" si="101"/>
        <v>5708.1999467307705</v>
      </c>
      <c r="V93" s="10">
        <f>SUM(V79:V90)</f>
        <v>29677.126869807696</v>
      </c>
      <c r="W93" s="10">
        <f t="shared" ref="W93" si="102">SUM(W79:W92)</f>
        <v>21582.15077307693</v>
      </c>
      <c r="X93" s="10">
        <f>SUM(X79:X92)</f>
        <v>1154.1038313461536</v>
      </c>
      <c r="Y93" s="10">
        <f>SUM(Y79:Y92)</f>
        <v>6940.8722653846144</v>
      </c>
      <c r="Z93" s="10">
        <f t="shared" ref="Z93" si="103">SUM(Z79:Z92)</f>
        <v>2320.5</v>
      </c>
    </row>
    <row r="94" spans="1:26">
      <c r="A94" s="6"/>
      <c r="B94" s="6"/>
      <c r="C94" s="6"/>
      <c r="D94" s="6"/>
      <c r="E94" s="6"/>
      <c r="F94" s="19"/>
      <c r="G94" s="12"/>
      <c r="H94" s="12"/>
      <c r="I94" s="13"/>
      <c r="J94" s="1"/>
      <c r="K94" s="9"/>
      <c r="L94" s="16"/>
      <c r="M94" s="9"/>
      <c r="N94" s="9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6"/>
      <c r="B95" s="6"/>
      <c r="C95" s="6"/>
      <c r="D95" s="6"/>
      <c r="E95" s="6"/>
      <c r="F95" s="19"/>
      <c r="G95" s="12"/>
      <c r="H95" s="12"/>
      <c r="I95" s="13"/>
      <c r="J95" s="1"/>
      <c r="K95" s="9"/>
      <c r="L95" s="16"/>
      <c r="M95" s="9"/>
      <c r="N95" s="9"/>
      <c r="O95" s="23"/>
      <c r="P95" s="23"/>
      <c r="Q95" s="23"/>
      <c r="R95" s="23"/>
      <c r="S95" s="23"/>
      <c r="T95" s="23"/>
      <c r="U95">
        <v>2024</v>
      </c>
      <c r="V95" s="9">
        <f>V48</f>
        <v>26784.898950000003</v>
      </c>
      <c r="W95" s="9">
        <f t="shared" ref="W95:Z95" si="104">W48</f>
        <v>25743.269999999993</v>
      </c>
      <c r="X95" s="9">
        <f t="shared" si="104"/>
        <v>3018.4763836153866</v>
      </c>
      <c r="Y95" s="9">
        <f t="shared" si="104"/>
        <v>0</v>
      </c>
      <c r="Z95" s="9">
        <f t="shared" si="104"/>
        <v>2652</v>
      </c>
    </row>
    <row r="96" spans="1:26">
      <c r="A96" s="6"/>
      <c r="B96" s="6"/>
      <c r="C96" s="6"/>
      <c r="D96" s="6"/>
      <c r="E96" s="6"/>
      <c r="F96" s="19"/>
      <c r="G96" s="12"/>
      <c r="H96" s="12"/>
      <c r="I96" s="13"/>
      <c r="J96" s="1"/>
      <c r="K96" s="9"/>
      <c r="L96" s="16"/>
      <c r="M96" s="9"/>
      <c r="N96" s="9"/>
      <c r="O96" s="23"/>
      <c r="P96" s="23"/>
      <c r="Q96" s="23"/>
      <c r="R96" s="23"/>
      <c r="S96" s="23"/>
      <c r="T96" s="23"/>
      <c r="U96">
        <v>2025</v>
      </c>
      <c r="V96" s="9">
        <f>V63</f>
        <v>30039.595282307691</v>
      </c>
      <c r="W96" s="9">
        <f t="shared" ref="W96:Z96" si="105">W63</f>
        <v>27370.036615384612</v>
      </c>
      <c r="X96" s="9">
        <f t="shared" si="105"/>
        <v>3420.32173348077</v>
      </c>
      <c r="Y96" s="9">
        <f t="shared" si="105"/>
        <v>1501.3589230769221</v>
      </c>
      <c r="Z96" s="9">
        <f t="shared" si="105"/>
        <v>2652</v>
      </c>
    </row>
    <row r="97" spans="1:26">
      <c r="F97" s="19"/>
      <c r="H97"/>
      <c r="I97" s="1"/>
      <c r="J97" s="1"/>
      <c r="U97">
        <v>2026</v>
      </c>
      <c r="V97" s="9">
        <f>V78</f>
        <v>32525.838579230774</v>
      </c>
      <c r="W97" s="9">
        <f t="shared" ref="W96:Z97" si="106">W78</f>
        <v>26536.672292307692</v>
      </c>
      <c r="X97" s="9">
        <f t="shared" si="106"/>
        <v>1264.886425384615</v>
      </c>
      <c r="Y97" s="9">
        <f t="shared" si="106"/>
        <v>4724.27986153846</v>
      </c>
      <c r="Z97" s="9">
        <f t="shared" si="106"/>
        <v>2652</v>
      </c>
    </row>
    <row r="98" spans="1:26">
      <c r="F98" s="19"/>
      <c r="H98"/>
      <c r="I98" s="1"/>
      <c r="J98" s="1"/>
      <c r="U98">
        <v>2027</v>
      </c>
      <c r="V98" s="9">
        <f>V93</f>
        <v>29677.126869807696</v>
      </c>
      <c r="W98" s="9">
        <f t="shared" ref="W98:Z98" si="107">W93</f>
        <v>21582.15077307693</v>
      </c>
      <c r="X98" s="9">
        <f t="shared" si="107"/>
        <v>1154.1038313461536</v>
      </c>
      <c r="Y98" s="9">
        <f t="shared" si="107"/>
        <v>6940.8722653846144</v>
      </c>
      <c r="Z98" s="9">
        <f t="shared" si="107"/>
        <v>2320.5</v>
      </c>
    </row>
    <row r="99" spans="1:26">
      <c r="F99" s="19"/>
      <c r="H99"/>
      <c r="I99" s="1"/>
      <c r="J99" s="1"/>
      <c r="V99" s="14">
        <f>SUM(V97:V98)</f>
        <v>62202.965449038471</v>
      </c>
      <c r="W99" s="14">
        <f>SUM(W97:W98)</f>
        <v>48118.823065384626</v>
      </c>
      <c r="X99" s="14">
        <f>SUM(X97:X98)</f>
        <v>2418.9902567307686</v>
      </c>
      <c r="Y99" s="14">
        <f>SUM(Y97:Y98)</f>
        <v>11665.152126923074</v>
      </c>
      <c r="Z99" s="14">
        <f>SUM(Z97:Z98)</f>
        <v>4972.5</v>
      </c>
    </row>
    <row r="101" spans="1:26">
      <c r="A101" s="18" t="s">
        <v>37</v>
      </c>
    </row>
    <row r="102" spans="1:26">
      <c r="A102" s="50" t="s">
        <v>38</v>
      </c>
    </row>
    <row r="103" spans="1:26">
      <c r="A103" s="50" t="s">
        <v>39</v>
      </c>
    </row>
  </sheetData>
  <phoneticPr fontId="4" type="noConversion"/>
  <pageMargins left="0.7" right="0.7" top="0.78740157499999996" bottom="0.78740157499999996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workbookViewId="0">
      <selection activeCell="A6" sqref="A6:XFD6"/>
    </sheetView>
  </sheetViews>
  <sheetFormatPr defaultColWidth="9.140625" defaultRowHeight="15"/>
  <cols>
    <col min="1" max="1" width="12.7109375" customWidth="1"/>
  </cols>
  <sheetData>
    <row r="1" spans="1:18" ht="15.75">
      <c r="A1" s="24" t="s">
        <v>40</v>
      </c>
      <c r="B1" s="24"/>
      <c r="C1" s="24"/>
      <c r="D1" s="24"/>
      <c r="E1" s="24" t="s">
        <v>41</v>
      </c>
      <c r="F1" s="24"/>
    </row>
    <row r="2" spans="1:18">
      <c r="N2" t="s">
        <v>42</v>
      </c>
      <c r="Q2" t="s">
        <v>43</v>
      </c>
    </row>
    <row r="3" spans="1:18">
      <c r="A3" s="25"/>
      <c r="B3" s="26"/>
      <c r="C3" s="27" t="s">
        <v>22</v>
      </c>
      <c r="D3" s="27" t="s">
        <v>44</v>
      </c>
      <c r="E3" s="27" t="s">
        <v>23</v>
      </c>
      <c r="F3" s="27" t="s">
        <v>45</v>
      </c>
      <c r="G3" s="27" t="s">
        <v>46</v>
      </c>
      <c r="H3" s="28" t="s">
        <v>47</v>
      </c>
      <c r="I3" s="27" t="s">
        <v>48</v>
      </c>
      <c r="J3" s="27" t="s">
        <v>49</v>
      </c>
      <c r="K3" s="27" t="s">
        <v>50</v>
      </c>
      <c r="L3" s="27" t="s">
        <v>51</v>
      </c>
      <c r="N3" s="28" t="s">
        <v>52</v>
      </c>
      <c r="O3" s="27" t="s">
        <v>53</v>
      </c>
      <c r="Q3" s="28" t="s">
        <v>52</v>
      </c>
      <c r="R3" s="27" t="s">
        <v>53</v>
      </c>
    </row>
    <row r="4" spans="1:18">
      <c r="A4" s="29"/>
      <c r="B4" s="30"/>
      <c r="C4" s="30"/>
      <c r="D4" s="30"/>
      <c r="E4" s="30"/>
      <c r="F4" s="30"/>
      <c r="G4" s="30"/>
      <c r="H4" s="31"/>
      <c r="I4" s="30"/>
      <c r="J4" s="30"/>
      <c r="K4" s="30"/>
      <c r="L4" s="30"/>
      <c r="N4" s="31"/>
      <c r="O4" s="30"/>
      <c r="Q4" s="31"/>
      <c r="R4" s="30"/>
    </row>
    <row r="5" spans="1:18">
      <c r="A5" s="32" t="s">
        <v>54</v>
      </c>
      <c r="B5" s="30"/>
      <c r="C5" s="30">
        <v>14.6</v>
      </c>
      <c r="D5" s="30">
        <v>3.5</v>
      </c>
      <c r="E5" s="30">
        <v>18.600000000000001</v>
      </c>
      <c r="F5" s="30">
        <v>2.6</v>
      </c>
      <c r="G5" s="30">
        <v>3.6</v>
      </c>
      <c r="H5" s="33">
        <v>4.2</v>
      </c>
      <c r="I5" s="34">
        <v>1.8</v>
      </c>
      <c r="J5" s="35">
        <v>0.5</v>
      </c>
      <c r="K5" s="30">
        <v>0.47</v>
      </c>
      <c r="L5" s="30">
        <v>0.15</v>
      </c>
      <c r="N5" s="31">
        <f>SUM(C5:G5)/2</f>
        <v>21.450000000000003</v>
      </c>
      <c r="O5" s="30">
        <f>SUM(C5:G5)/2+I5+K5+L5</f>
        <v>23.87</v>
      </c>
      <c r="Q5" s="31">
        <f>SUM(C5:F5)/2+2.4</f>
        <v>22.05</v>
      </c>
      <c r="R5" s="30">
        <f>SUM(C5:F5)/2+1.8+I5+K5+L5</f>
        <v>23.87</v>
      </c>
    </row>
    <row r="6" spans="1:18">
      <c r="A6" s="32" t="s">
        <v>10</v>
      </c>
      <c r="B6" s="30"/>
      <c r="C6" s="30">
        <v>14.6</v>
      </c>
      <c r="D6" s="30">
        <v>3.29</v>
      </c>
      <c r="E6" s="30">
        <v>18.600000000000001</v>
      </c>
      <c r="F6" s="30">
        <v>2.6</v>
      </c>
      <c r="G6" s="30">
        <v>3.6</v>
      </c>
      <c r="H6" s="33">
        <v>4.2</v>
      </c>
      <c r="I6" s="34">
        <v>1.9</v>
      </c>
      <c r="J6" s="35">
        <v>0.5</v>
      </c>
      <c r="K6" s="30">
        <v>0.42</v>
      </c>
      <c r="L6" s="30">
        <v>0.15</v>
      </c>
      <c r="N6" s="31">
        <f t="shared" ref="N6:N15" si="0">SUM(C6:G6)/2</f>
        <v>21.345000000000002</v>
      </c>
      <c r="O6" s="30">
        <f t="shared" ref="O6:O15" si="1">SUM(C6:G6)/2+I6+K6+L6</f>
        <v>23.815000000000001</v>
      </c>
      <c r="Q6" s="31">
        <f t="shared" ref="Q6:Q15" si="2">SUM(C6:F6)/2+2.4</f>
        <v>21.945</v>
      </c>
      <c r="R6" s="30">
        <f t="shared" ref="R6:R15" si="3">SUM(C6:F6)/2+1.8+I6+K6+L6</f>
        <v>23.815000000000001</v>
      </c>
    </row>
    <row r="7" spans="1:18">
      <c r="A7" s="32" t="s">
        <v>55</v>
      </c>
      <c r="B7" s="30"/>
      <c r="C7" s="30">
        <v>14.6</v>
      </c>
      <c r="D7" s="30">
        <v>3.69</v>
      </c>
      <c r="E7" s="30">
        <v>18.600000000000001</v>
      </c>
      <c r="F7" s="30">
        <v>2.6</v>
      </c>
      <c r="G7" s="30">
        <v>3.6</v>
      </c>
      <c r="H7" s="33">
        <v>4.2</v>
      </c>
      <c r="I7" s="34">
        <v>3.3</v>
      </c>
      <c r="J7" s="35">
        <v>0.8</v>
      </c>
      <c r="K7" s="30">
        <v>0.28999999999999998</v>
      </c>
      <c r="L7" s="30">
        <v>0.15</v>
      </c>
      <c r="N7" s="31">
        <f t="shared" si="0"/>
        <v>21.545000000000002</v>
      </c>
      <c r="O7" s="30">
        <f t="shared" si="1"/>
        <v>25.285</v>
      </c>
      <c r="Q7" s="31">
        <f t="shared" si="2"/>
        <v>22.145</v>
      </c>
      <c r="R7" s="30">
        <f t="shared" si="3"/>
        <v>25.285</v>
      </c>
    </row>
    <row r="8" spans="1:18">
      <c r="A8" s="32" t="s">
        <v>56</v>
      </c>
      <c r="B8" s="30"/>
      <c r="C8" s="30">
        <v>14.6</v>
      </c>
      <c r="D8" s="30">
        <v>2.69</v>
      </c>
      <c r="E8" s="30">
        <v>18.600000000000001</v>
      </c>
      <c r="F8" s="30">
        <v>2.6</v>
      </c>
      <c r="G8" s="30">
        <v>3.6</v>
      </c>
      <c r="H8" s="33">
        <v>4.2</v>
      </c>
      <c r="I8" s="34">
        <v>1.3</v>
      </c>
      <c r="J8" s="35">
        <v>0.5</v>
      </c>
      <c r="K8" s="30">
        <v>0.44</v>
      </c>
      <c r="L8" s="30">
        <v>0.15</v>
      </c>
      <c r="N8" s="31">
        <f t="shared" si="0"/>
        <v>21.045000000000002</v>
      </c>
      <c r="O8" s="30">
        <f t="shared" si="1"/>
        <v>22.935000000000002</v>
      </c>
      <c r="Q8" s="31">
        <f t="shared" si="2"/>
        <v>21.645</v>
      </c>
      <c r="R8" s="30">
        <f t="shared" si="3"/>
        <v>22.935000000000002</v>
      </c>
    </row>
    <row r="9" spans="1:18">
      <c r="A9" s="32" t="s">
        <v>57</v>
      </c>
      <c r="B9" s="30"/>
      <c r="C9" s="30">
        <v>14.6</v>
      </c>
      <c r="D9" s="30">
        <v>3.5</v>
      </c>
      <c r="E9" s="30">
        <v>18.600000000000001</v>
      </c>
      <c r="F9" s="30">
        <v>2.6</v>
      </c>
      <c r="G9" s="30">
        <v>3.6</v>
      </c>
      <c r="H9" s="33">
        <v>4.2</v>
      </c>
      <c r="I9" s="36">
        <v>2.44</v>
      </c>
      <c r="J9" s="35">
        <v>0.7</v>
      </c>
      <c r="K9" s="30">
        <v>0.44</v>
      </c>
      <c r="L9" s="30">
        <v>0.15</v>
      </c>
      <c r="N9" s="31">
        <f t="shared" si="0"/>
        <v>21.450000000000003</v>
      </c>
      <c r="O9" s="30">
        <f t="shared" si="1"/>
        <v>24.480000000000004</v>
      </c>
      <c r="Q9" s="31">
        <f t="shared" si="2"/>
        <v>22.05</v>
      </c>
      <c r="R9" s="30">
        <f t="shared" si="3"/>
        <v>24.480000000000004</v>
      </c>
    </row>
    <row r="10" spans="1:18">
      <c r="A10" s="32" t="s">
        <v>58</v>
      </c>
      <c r="B10" s="30"/>
      <c r="C10" s="30">
        <v>14.6</v>
      </c>
      <c r="D10" s="30">
        <v>3.2</v>
      </c>
      <c r="E10" s="30">
        <v>18.600000000000001</v>
      </c>
      <c r="F10" s="30">
        <v>2.6</v>
      </c>
      <c r="G10" s="30">
        <v>3.6</v>
      </c>
      <c r="H10" s="33">
        <v>4.2</v>
      </c>
      <c r="I10" s="34">
        <v>1.3</v>
      </c>
      <c r="J10" s="35">
        <v>0.5</v>
      </c>
      <c r="K10" s="30">
        <v>0.39</v>
      </c>
      <c r="L10" s="30">
        <v>0.15</v>
      </c>
      <c r="N10" s="31">
        <f t="shared" si="0"/>
        <v>21.300000000000004</v>
      </c>
      <c r="O10" s="30">
        <f t="shared" si="1"/>
        <v>23.140000000000004</v>
      </c>
      <c r="Q10" s="31">
        <f t="shared" si="2"/>
        <v>21.900000000000002</v>
      </c>
      <c r="R10" s="30">
        <f t="shared" si="3"/>
        <v>23.140000000000004</v>
      </c>
    </row>
    <row r="11" spans="1:18">
      <c r="A11" s="32" t="s">
        <v>59</v>
      </c>
      <c r="B11" s="30"/>
      <c r="C11" s="30">
        <v>14.6</v>
      </c>
      <c r="D11" s="30">
        <v>4.3499999999999996</v>
      </c>
      <c r="E11" s="30">
        <v>18.600000000000001</v>
      </c>
      <c r="F11" s="30">
        <v>2.6</v>
      </c>
      <c r="G11" s="30">
        <v>3.6</v>
      </c>
      <c r="H11" s="33">
        <v>4.2</v>
      </c>
      <c r="I11" s="36">
        <v>2.93</v>
      </c>
      <c r="J11" s="35">
        <v>0.7</v>
      </c>
      <c r="K11" s="30">
        <v>0.46</v>
      </c>
      <c r="L11" s="30">
        <v>0.15</v>
      </c>
      <c r="N11" s="31">
        <f t="shared" si="0"/>
        <v>21.875</v>
      </c>
      <c r="O11" s="30">
        <f t="shared" si="1"/>
        <v>25.414999999999999</v>
      </c>
      <c r="Q11" s="31">
        <f t="shared" si="2"/>
        <v>22.474999999999998</v>
      </c>
      <c r="R11" s="30">
        <f t="shared" si="3"/>
        <v>25.414999999999999</v>
      </c>
    </row>
    <row r="12" spans="1:18">
      <c r="A12" s="32" t="s">
        <v>60</v>
      </c>
      <c r="B12" s="30"/>
      <c r="C12" s="30">
        <v>14.6</v>
      </c>
      <c r="D12" s="30">
        <v>3.78</v>
      </c>
      <c r="E12" s="30">
        <v>18.600000000000001</v>
      </c>
      <c r="F12" s="30">
        <v>2.6</v>
      </c>
      <c r="G12" s="30">
        <v>3.6</v>
      </c>
      <c r="H12" s="33">
        <v>4.2</v>
      </c>
      <c r="I12" s="34">
        <v>1.8</v>
      </c>
      <c r="J12" s="35">
        <v>0.5</v>
      </c>
      <c r="K12" s="30">
        <v>0.44</v>
      </c>
      <c r="L12" s="30">
        <v>0.15</v>
      </c>
      <c r="N12" s="31">
        <f t="shared" si="0"/>
        <v>21.590000000000003</v>
      </c>
      <c r="O12" s="30">
        <f t="shared" si="1"/>
        <v>23.980000000000004</v>
      </c>
      <c r="Q12" s="31">
        <f t="shared" si="2"/>
        <v>22.19</v>
      </c>
      <c r="R12" s="30">
        <f t="shared" si="3"/>
        <v>23.980000000000004</v>
      </c>
    </row>
    <row r="13" spans="1:18">
      <c r="A13" s="32" t="s">
        <v>61</v>
      </c>
      <c r="B13" s="30"/>
      <c r="C13" s="30">
        <v>14.6</v>
      </c>
      <c r="D13" s="30">
        <v>3.65</v>
      </c>
      <c r="E13" s="30">
        <v>18.600000000000001</v>
      </c>
      <c r="F13" s="30">
        <v>2.6</v>
      </c>
      <c r="G13" s="30">
        <v>3.6</v>
      </c>
      <c r="H13" s="33">
        <v>4.2</v>
      </c>
      <c r="I13" s="34">
        <v>3.2</v>
      </c>
      <c r="J13" s="35">
        <v>0.7</v>
      </c>
      <c r="K13" s="30">
        <v>0.42</v>
      </c>
      <c r="L13" s="30">
        <v>0.15</v>
      </c>
      <c r="N13" s="31">
        <f t="shared" si="0"/>
        <v>21.525000000000002</v>
      </c>
      <c r="O13" s="30">
        <f t="shared" si="1"/>
        <v>25.295000000000002</v>
      </c>
      <c r="Q13" s="31">
        <f t="shared" si="2"/>
        <v>22.125</v>
      </c>
      <c r="R13" s="30">
        <f t="shared" si="3"/>
        <v>25.295000000000002</v>
      </c>
    </row>
    <row r="14" spans="1:18">
      <c r="A14" s="32" t="s">
        <v>62</v>
      </c>
      <c r="B14" s="30"/>
      <c r="C14" s="30">
        <v>14.6</v>
      </c>
      <c r="D14" s="30">
        <v>3.5</v>
      </c>
      <c r="E14" s="30">
        <v>18.600000000000001</v>
      </c>
      <c r="F14" s="30">
        <v>2.6</v>
      </c>
      <c r="G14" s="30">
        <v>3.6</v>
      </c>
      <c r="H14" s="33">
        <v>4.2</v>
      </c>
      <c r="I14" s="34">
        <v>2.44</v>
      </c>
      <c r="J14" s="35">
        <v>0.7</v>
      </c>
      <c r="K14" s="30">
        <v>0.44</v>
      </c>
      <c r="L14" s="30">
        <v>0.15</v>
      </c>
      <c r="N14" s="31">
        <f t="shared" si="0"/>
        <v>21.450000000000003</v>
      </c>
      <c r="O14" s="30">
        <f t="shared" si="1"/>
        <v>24.480000000000004</v>
      </c>
      <c r="Q14" s="31">
        <f t="shared" si="2"/>
        <v>22.05</v>
      </c>
      <c r="R14" s="30">
        <f t="shared" si="3"/>
        <v>24.480000000000004</v>
      </c>
    </row>
    <row r="15" spans="1:18">
      <c r="A15" s="37" t="s">
        <v>63</v>
      </c>
      <c r="B15" s="38"/>
      <c r="C15" s="38">
        <v>14.6</v>
      </c>
      <c r="D15" s="38">
        <v>3.6</v>
      </c>
      <c r="E15" s="38">
        <v>18.600000000000001</v>
      </c>
      <c r="F15" s="38">
        <v>2.6</v>
      </c>
      <c r="G15" s="38">
        <v>3.6</v>
      </c>
      <c r="H15" s="39">
        <v>4.2</v>
      </c>
      <c r="I15" s="40">
        <v>2.2999999999999998</v>
      </c>
      <c r="J15" s="41">
        <v>0.6</v>
      </c>
      <c r="K15" s="38">
        <v>0.3</v>
      </c>
      <c r="L15" s="38">
        <v>0.15</v>
      </c>
      <c r="N15" s="42">
        <f t="shared" si="0"/>
        <v>21.5</v>
      </c>
      <c r="O15" s="42">
        <f t="shared" si="1"/>
        <v>24.25</v>
      </c>
      <c r="Q15" s="42">
        <f t="shared" si="2"/>
        <v>22.099999999999998</v>
      </c>
      <c r="R15" s="38">
        <f t="shared" si="3"/>
        <v>24.25</v>
      </c>
    </row>
    <row r="18" spans="1:1">
      <c r="A18" s="43" t="s">
        <v>64</v>
      </c>
    </row>
    <row r="19" spans="1:1">
      <c r="A19" s="43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483ccd-f12f-4c60-811b-5eea3a5492dd" xsi:nil="true"/>
    <lcf76f155ced4ddcb4097134ff3c332f xmlns="64a803ef-e39d-47ae-a637-2899264daa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48228E3B3D448930FE1A6DDCC5227" ma:contentTypeVersion="9" ma:contentTypeDescription="Create a new document." ma:contentTypeScope="" ma:versionID="65f1c4f347150eea9f8ecda67b32829f">
  <xsd:schema xmlns:xsd="http://www.w3.org/2001/XMLSchema" xmlns:xs="http://www.w3.org/2001/XMLSchema" xmlns:p="http://schemas.microsoft.com/office/2006/metadata/properties" xmlns:ns2="64a803ef-e39d-47ae-a637-2899264daa0a" xmlns:ns3="9c483ccd-f12f-4c60-811b-5eea3a5492dd" targetNamespace="http://schemas.microsoft.com/office/2006/metadata/properties" ma:root="true" ma:fieldsID="07cc9dda54e8aed41c596cf0670a7b15" ns2:_="" ns3:_="">
    <xsd:import namespace="64a803ef-e39d-47ae-a637-2899264daa0a"/>
    <xsd:import namespace="9c483ccd-f12f-4c60-811b-5eea3a549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803ef-e39d-47ae-a637-2899264daa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60d2a4-3e44-41c8-b0cb-0de581a71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83ccd-f12f-4c60-811b-5eea3a5492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4fb019-0725-4cc0-a2b3-91a64990f744}" ma:internalName="TaxCatchAll" ma:showField="CatchAllData" ma:web="9c483ccd-f12f-4c60-811b-5eea3a549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12491-8E28-4689-AD56-2B5728741193}"/>
</file>

<file path=customXml/itemProps2.xml><?xml version="1.0" encoding="utf-8"?>
<ds:datastoreItem xmlns:ds="http://schemas.openxmlformats.org/officeDocument/2006/customXml" ds:itemID="{9B5A7134-2D1E-4149-B8F8-3A459F052F4A}"/>
</file>

<file path=customXml/itemProps3.xml><?xml version="1.0" encoding="utf-8"?>
<ds:datastoreItem xmlns:ds="http://schemas.openxmlformats.org/officeDocument/2006/customXml" ds:itemID="{78BD3D82-A325-4056-BD6E-E247E3B1E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Holzmann</dc:creator>
  <cp:keywords/>
  <dc:description/>
  <cp:lastModifiedBy>Maxim Mueller</cp:lastModifiedBy>
  <cp:revision/>
  <dcterms:created xsi:type="dcterms:W3CDTF">2025-09-27T08:59:47Z</dcterms:created>
  <dcterms:modified xsi:type="dcterms:W3CDTF">2026-08-31T07:34:57Z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0x01010038E48228E3B3D448930FE1A6DDCC5227</vt:lpwstr>
  </property>
  <property fmtid="{D5CDD505-2E9C-101B-9397-08002B2CF9AE}" pid="3" name="MediaServiceImageTags">
    <vt:lpwstr/>
  </property>
</Properties>
</file>